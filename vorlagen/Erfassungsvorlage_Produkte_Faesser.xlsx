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Listen" sheetId="2" state="visible" r:id="rId2"/>
    <sheet name="Produkte" sheetId="3" state="visible" r:id="rId3"/>
    <sheet name="Varianten_Preise" sheetId="4" state="visible" r:id="rId4"/>
    <sheet name="Faesser" sheetId="5" state="visible" r:id="rId5"/>
    <sheet name="Fass_aktiv" sheetId="6" state="visible" r:id="rId6"/>
    <sheet name="Abfuellungen" sheetId="7" state="visible" r:id="rId7"/>
    <sheet name="Uebersicht" sheetId="8" state="visible" r:id="rId8"/>
  </sheets>
  <definedNames>
    <definedName name="_xlnm._FilterDatabase" localSheetId="2" hidden="1">'Produkte'!$A$1:$K$301</definedName>
    <definedName name="_xlnm._FilterDatabase" localSheetId="3" hidden="1">'Varianten_Preise'!$A$1:$M$301</definedName>
    <definedName name="_xlnm._FilterDatabase" localSheetId="4" hidden="1">'Faesser'!$A$1:$M$301</definedName>
    <definedName name="_xlnm._FilterDatabase" localSheetId="5" hidden="1">'Fass_aktiv'!$A$1:$G$301</definedName>
    <definedName name="_xlnm._FilterDatabase" localSheetId="6" hidden="1">'Abfuellungen'!$A$1:$K$301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DD.MM.YYYY"/>
  </numFmts>
  <fonts count="8">
    <font>
      <name val="Calibri"/>
      <family val="2"/>
      <color theme="1"/>
      <sz val="11"/>
      <scheme val="minor"/>
    </font>
    <font>
      <name val="Arial"/>
      <b val="1"/>
      <color rgb="002E5E3A"/>
      <sz val="16"/>
    </font>
    <font>
      <name val="Arial"/>
      <color rgb="00000000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0000FF"/>
      <sz val="10"/>
    </font>
    <font>
      <name val="Arial"/>
      <i val="1"/>
      <color rgb="000000FF"/>
      <sz val="10"/>
    </font>
    <font>
      <name val="Arial"/>
      <b val="1"/>
      <color rgb="002E5E3A"/>
      <sz val="14"/>
    </font>
  </fonts>
  <fills count="5">
    <fill>
      <patternFill/>
    </fill>
    <fill>
      <patternFill patternType="gray125"/>
    </fill>
    <fill>
      <patternFill patternType="solid">
        <fgColor rgb="00FFF6C8"/>
      </patternFill>
    </fill>
    <fill>
      <patternFill patternType="solid">
        <fgColor rgb="00E8EEF5"/>
      </patternFill>
    </fill>
    <fill>
      <patternFill patternType="solid">
        <fgColor rgb="002E5E3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1" pivotButton="0" quotePrefix="0" xfId="0"/>
    <xf numFmtId="0" fontId="5" fillId="2" borderId="1" pivotButton="0" quotePrefix="0" xfId="0"/>
    <xf numFmtId="9" fontId="5" fillId="2" borderId="1" pivotButton="0" quotePrefix="0" xfId="0"/>
    <xf numFmtId="0" fontId="0" fillId="2" borderId="1" pivotButton="0" quotePrefix="0" xfId="0"/>
    <xf numFmtId="0" fontId="4" fillId="4" borderId="1" applyAlignment="1" pivotButton="0" quotePrefix="0" xfId="0">
      <alignment vertical="center" wrapText="1"/>
    </xf>
    <xf numFmtId="0" fontId="6" fillId="2" borderId="1" pivotButton="0" quotePrefix="0" xfId="0"/>
    <xf numFmtId="0" fontId="2" fillId="3" borderId="1" pivotButton="0" quotePrefix="0" xfId="0"/>
    <xf numFmtId="164" fontId="6" fillId="2" borderId="1" pivotButton="0" quotePrefix="0" xfId="0"/>
    <xf numFmtId="9" fontId="6" fillId="2" borderId="1" pivotButton="0" quotePrefix="0" xfId="0"/>
    <xf numFmtId="164" fontId="2" fillId="3" borderId="1" pivotButton="0" quotePrefix="0" xfId="0"/>
    <xf numFmtId="164" fontId="5" fillId="2" borderId="1" pivotButton="0" quotePrefix="0" xfId="0"/>
    <xf numFmtId="165" fontId="6" fillId="2" borderId="1" pivotButton="0" quotePrefix="0" xfId="0"/>
    <xf numFmtId="165" fontId="5" fillId="2" borderId="1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Vorlage</author>
  </authors>
  <commentList>
    <comment ref="A1" authorId="0" shapeId="0">
      <text>
        <t>Listen ergänzen: einfach unten weitere Einträge in die gelben Zellen schreiben. Die Auswahlfelder erfassen bis Zeile 41.</t>
      </text>
    </comment>
  </commentList>
</comments>
</file>

<file path=xl/comments/comment2.xml><?xml version="1.0" encoding="utf-8"?>
<comments xmlns="http://schemas.openxmlformats.org/spreadsheetml/2006/main">
  <authors>
    <author>Vorlage</author>
  </authors>
  <commentList>
    <comment ref="A1" authorId="0" shapeId="0">
      <text>
        <t>Eindeutig, nie ändern. Vorschlag: OBST-TYP-NNN (APF-BRD-001). Bestehende Nummern verwenden, falls vorhanden.</t>
      </text>
    </comment>
    <comment ref="C1" authorId="0" shapeId="0">
      <text>
        <t>Bestimmt, unter welchem Baum das Produkt auf der Website erscheint.</t>
      </text>
    </comment>
    <comment ref="E1" authorId="0" shapeId="0">
      <text>
        <t>Nur die Zahl, z. B. 40 für 40 % vol.</t>
      </text>
    </comment>
  </commentList>
</comments>
</file>

<file path=xl/comments/comment3.xml><?xml version="1.0" encoding="utf-8"?>
<comments xmlns="http://schemas.openxmlformats.org/spreadsheetml/2006/main">
  <authors>
    <author>Vorlage</author>
  </authors>
  <commentList>
    <comment ref="D1" authorId="0" shapeId="0">
      <text>
        <t>13-stellige EAN, falls vorhanden (GS1). Sonst leer lassen – wird später vergeben.</t>
      </text>
    </comment>
    <comment ref="E1" authorId="0" shapeId="0">
      <text>
        <t>Netto ohne MwSt. Falls nur Brutto bekannt: Brutto / 1,17 eintragen und Bemerkung setzen.</t>
      </text>
    </comment>
    <comment ref="F1" authorId="0" shapeId="0">
      <text>
        <t>Standard Luxemburg 17 % (0,17). Als Bruchteil gespeichert.</t>
      </text>
    </comment>
    <comment ref="G1" authorId="0" shapeId="0">
      <text>
        <t>Berechnet: netto × (1 + MwSt).</t>
      </text>
    </comment>
    <comment ref="H1" authorId="0" shapeId="0">
      <text>
        <t>Berechnet: Pflichtangabe im Shop (Preis je Liter).</t>
      </text>
    </comment>
  </commentList>
</comments>
</file>

<file path=xl/comments/comment4.xml><?xml version="1.0" encoding="utf-8"?>
<comments xmlns="http://schemas.openxmlformats.org/spreadsheetml/2006/main">
  <authors>
    <author>Vorlage</author>
  </authors>
  <commentList>
    <comment ref="A1" authorId="0" shapeId="0">
      <text>
        <t>Genau so schreiben, wie sie heute auf dem Fass steht. Muss eindeutig sein.</t>
      </text>
    </comment>
    <comment ref="G1" authorId="0" shapeId="0">
      <text>
        <t>Alkoholgehalt im Fass (vor Herabsetzung auf Trinkstärke).</t>
      </text>
    </comment>
    <comment ref="I1" authorId="0" shapeId="0">
      <text>
        <t>Verweis auf Brennbuch/Maische, damit jede Flasche rückverfolgbar ist.</t>
      </text>
    </comment>
    <comment ref="L1" authorId="0" shapeId="0">
      <text>
        <t>Grobe Schätzung: Füllstand geteilt durch 0,5 l. Nur zur Orientierung.</t>
      </text>
    </comment>
  </commentList>
</comments>
</file>

<file path=xl/comments/comment5.xml><?xml version="1.0" encoding="utf-8"?>
<comments xmlns="http://schemas.openxmlformats.org/spreadsheetml/2006/main">
  <authors>
    <author>Vorlage</author>
  </authors>
  <commentList>
    <comment ref="F1" authorId="0" shapeId="0">
      <text>
        <t>OK = alles stimmig. FEHLER bei doppeltem Produkt oder unbekanntem Fass. WARNUNG wenn das Fass laut Blatt 'Faesser' ein anderes Produkt enthält.</t>
      </text>
    </comment>
  </commentList>
</comments>
</file>

<file path=xl/comments/comment6.xml><?xml version="1.0" encoding="utf-8"?>
<comments xmlns="http://schemas.openxmlformats.org/spreadsheetml/2006/main">
  <authors>
    <author>Vorlage</author>
  </authors>
  <commentList>
    <comment ref="H1" authorId="0" shapeId="0">
      <text>
        <t>Vorschlag: F&lt;Fassnummer&gt;-&lt;JJMMTT&gt;, z. B. F017-251202. Kommt aufs Etikett (Loskennzeichnung).</t>
      </text>
    </comment>
  </commentList>
</comments>
</file>

<file path=xl/comments/comment7.xml><?xml version="1.0" encoding="utf-8"?>
<comments xmlns="http://schemas.openxmlformats.org/spreadsheetml/2006/main">
  <authors>
    <author>Vorlage</author>
  </authors>
  <commentList>
    <comment ref="A11" authorId="0" shapeId="0">
      <text>
        <t>Liter reiner Alkohol = Füllstand × % vol / 100. Grundlage für die Alkoholbilanz gegenüber dem Zoll.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Hierber Brennerei – Erfassungsvorlage Produkte &amp; Fässer</t>
        </is>
      </c>
    </row>
    <row r="2">
      <c r="A2" s="2" t="inlineStr">
        <is>
          <t>Diese Datei ist die Datengrundlage für die zentrale Datenbank (Phase 0/1 des Masterplans). Bitte so vollständig wie möglich ausfüllen.</t>
        </is>
      </c>
    </row>
    <row r="3">
      <c r="A3" s="2" t="inlineStr"/>
    </row>
    <row r="4">
      <c r="A4" s="3" t="inlineStr">
        <is>
          <t>SO GEHT'S</t>
        </is>
      </c>
    </row>
    <row r="5">
      <c r="A5" s="2" t="inlineStr">
        <is>
          <t>1. Blatt 'Listen' zuerst prüfen: Obstarten, Produkttypen, Flaschengrößen und MwSt-Sätze anpassen oder ergänzen. Diese Listen füllen die Auswahlfelder auf den anderen Blättern.</t>
        </is>
      </c>
    </row>
    <row r="6">
      <c r="A6" s="2" t="inlineStr">
        <is>
          <t>2. Blatt 'Produkte': jedes Produkt genau einmal (z. B. 'Apfelbrand'), unabhängig von der Flaschengröße.</t>
        </is>
      </c>
    </row>
    <row r="7">
      <c r="A7" s="2" t="inlineStr">
        <is>
          <t>3. Blatt 'Varianten_Preise': jede verkaufbare Flaschengröße pro Produkt mit Netto-Preis. Brutto wird automatisch berechnet.</t>
        </is>
      </c>
    </row>
    <row r="8">
      <c r="A8" s="2" t="inlineStr">
        <is>
          <t>4. Blatt 'Faesser': jedes Fass mit Nummer, Inhalt und Zustand.</t>
        </is>
      </c>
    </row>
    <row r="9">
      <c r="A9" s="2" t="inlineStr">
        <is>
          <t>5. Blatt 'Fass_aktiv': welches Fass für welches Produkt gerade abgefüllt wird (das kommt aufs Etikett).</t>
        </is>
      </c>
    </row>
    <row r="10">
      <c r="A10" s="2" t="inlineStr">
        <is>
          <t>6. Blatt 'Abfuellungen' (optional): bisherige Abfüllungen, falls bekannt – hilft beim Startbestand.</t>
        </is>
      </c>
    </row>
    <row r="11">
      <c r="A11" s="2" t="inlineStr"/>
    </row>
    <row r="12">
      <c r="A12" s="3" t="inlineStr">
        <is>
          <t>FARBLEGENDE</t>
        </is>
      </c>
    </row>
    <row r="13">
      <c r="A13" s="4" t="inlineStr">
        <is>
          <t>Gelbe Zellen = bitte ausfüllen (blaue Schrift = Eingabe).</t>
        </is>
      </c>
    </row>
    <row r="14">
      <c r="A14" s="5" t="inlineStr">
        <is>
          <t>Blaue Zellen = werden automatisch berechnet, nicht überschreiben.</t>
        </is>
      </c>
    </row>
    <row r="15">
      <c r="A15" s="2" t="inlineStr">
        <is>
          <t>Graue kursive Zeile 2 = Beispiel. Bitte überschreiben oder löschen.</t>
        </is>
      </c>
    </row>
    <row r="16">
      <c r="A16" s="2" t="inlineStr"/>
    </row>
    <row r="17">
      <c r="A17" s="3" t="inlineStr">
        <is>
          <t>REGELN</t>
        </is>
      </c>
    </row>
    <row r="18">
      <c r="A18" s="2" t="inlineStr">
        <is>
          <t>• Artikelnummer (SKU) ist eindeutig und ändert sich nie. Vorschlag: OBST-TYP-NNN, z. B. APF-BRD-001. Wenn ihr schon Nummern habt, diese verwenden.</t>
        </is>
      </c>
    </row>
    <row r="19">
      <c r="A19" s="2" t="inlineStr">
        <is>
          <t>• Preise immer NETTO (ohne MwSt) in Euro eintragen. Standard-MwSt Luxemburg 17 %. Bei Unsicherheit Preis brutto in Bemerkung notieren.</t>
        </is>
      </c>
    </row>
    <row r="20">
      <c r="A20" s="2" t="inlineStr">
        <is>
          <t>• Alkoholgehalt als Zahl in % vol (z. B. 40), Mengen in ml bzw. Liter, Datum als TT.MM.JJJJ.</t>
        </is>
      </c>
    </row>
    <row r="21">
      <c r="A21" s="2" t="inlineStr">
        <is>
          <t>• Fassnummer genau so schreiben, wie sie heute auf dem Fass/Etikett steht.</t>
        </is>
      </c>
    </row>
    <row r="22">
      <c r="A22" s="2" t="inlineStr">
        <is>
          <t>• Pro Produkt darf nur EIN Fass aktiv sein. Das Blatt 'Fass_aktiv' warnt bei Doppelungen.</t>
        </is>
      </c>
    </row>
    <row r="23">
      <c r="A23" s="2" t="inlineStr">
        <is>
          <t>• Unklar? Spalte 'Bemerkung' nutzen – lieber zu viel als zu wenig.</t>
        </is>
      </c>
    </row>
    <row r="24">
      <c r="A24" s="2" t="inlineStr"/>
    </row>
    <row r="25">
      <c r="A25" s="2" t="inlineStr">
        <is>
          <t>Rückgabe: Datei ins Repository unter vorlagen/ legen oder im Chat hochladen.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6" t="inlineStr">
        <is>
          <t>Obstart / Kategorie</t>
        </is>
      </c>
      <c r="B1" s="6" t="inlineStr">
        <is>
          <t>Produkttyp</t>
        </is>
      </c>
      <c r="C1" s="6" t="inlineStr">
        <is>
          <t>Flaschengröße (ml)</t>
        </is>
      </c>
      <c r="D1" s="6" t="inlineStr">
        <is>
          <t>MwSt-Satz</t>
        </is>
      </c>
      <c r="E1" s="6" t="inlineStr">
        <is>
          <t>Fass-Material</t>
        </is>
      </c>
      <c r="F1" s="6" t="inlineStr">
        <is>
          <t>Fass-Status</t>
        </is>
      </c>
      <c r="G1" s="6" t="inlineStr">
        <is>
          <t>Ja/Nein</t>
        </is>
      </c>
    </row>
    <row r="2">
      <c r="A2" s="7" t="inlineStr">
        <is>
          <t>Apfel</t>
        </is>
      </c>
      <c r="B2" s="7" t="inlineStr">
        <is>
          <t>Brand</t>
        </is>
      </c>
      <c r="C2" s="7" t="n">
        <v>20</v>
      </c>
      <c r="D2" s="8" t="n">
        <v>0.17</v>
      </c>
      <c r="E2" s="7" t="inlineStr">
        <is>
          <t>Edelstahl</t>
        </is>
      </c>
      <c r="F2" s="7" t="inlineStr">
        <is>
          <t>lagernd</t>
        </is>
      </c>
      <c r="G2" s="7" t="inlineStr">
        <is>
          <t>Ja</t>
        </is>
      </c>
    </row>
    <row r="3">
      <c r="A3" s="7" t="inlineStr">
        <is>
          <t>Birne</t>
        </is>
      </c>
      <c r="B3" s="7" t="inlineStr">
        <is>
          <t>Likör</t>
        </is>
      </c>
      <c r="C3" s="7" t="n">
        <v>50</v>
      </c>
      <c r="D3" s="8" t="n">
        <v>0.14</v>
      </c>
      <c r="E3" s="7" t="inlineStr">
        <is>
          <t>Eiche</t>
        </is>
      </c>
      <c r="F3" s="7" t="inlineStr">
        <is>
          <t>aktiv</t>
        </is>
      </c>
      <c r="G3" s="7" t="inlineStr">
        <is>
          <t>Nein</t>
        </is>
      </c>
    </row>
    <row r="4">
      <c r="A4" s="7" t="inlineStr">
        <is>
          <t>Zwetschge</t>
        </is>
      </c>
      <c r="B4" s="7" t="inlineStr">
        <is>
          <t>Gin</t>
        </is>
      </c>
      <c r="C4" s="7" t="n">
        <v>100</v>
      </c>
      <c r="D4" s="8" t="n">
        <v>0.08</v>
      </c>
      <c r="E4" s="7" t="inlineStr">
        <is>
          <t>Kastanie</t>
        </is>
      </c>
      <c r="F4" s="7" t="inlineStr">
        <is>
          <t>leer</t>
        </is>
      </c>
      <c r="G4" s="9" t="n"/>
    </row>
    <row r="5">
      <c r="A5" s="7" t="inlineStr">
        <is>
          <t>Mirabelle</t>
        </is>
      </c>
      <c r="B5" s="7" t="inlineStr">
        <is>
          <t>Whisky</t>
        </is>
      </c>
      <c r="C5" s="7" t="n">
        <v>200</v>
      </c>
      <c r="D5" s="8" t="n">
        <v>0.03</v>
      </c>
      <c r="E5" s="7" t="inlineStr">
        <is>
          <t>Akazie</t>
        </is>
      </c>
      <c r="F5" s="7" t="inlineStr">
        <is>
          <t>gesperrt</t>
        </is>
      </c>
      <c r="G5" s="9" t="n"/>
    </row>
    <row r="6">
      <c r="A6" s="7" t="inlineStr">
        <is>
          <t>Kirsche</t>
        </is>
      </c>
      <c r="B6" s="7" t="inlineStr">
        <is>
          <t>Rum</t>
        </is>
      </c>
      <c r="C6" s="7" t="n">
        <v>350</v>
      </c>
      <c r="D6" s="8" t="n">
        <v>0</v>
      </c>
      <c r="E6" s="7" t="inlineStr">
        <is>
          <t>Glasballon</t>
        </is>
      </c>
      <c r="F6" s="9" t="n"/>
      <c r="G6" s="9" t="n"/>
    </row>
    <row r="7">
      <c r="A7" s="7" t="inlineStr">
        <is>
          <t>Quitte</t>
        </is>
      </c>
      <c r="B7" s="7" t="inlineStr">
        <is>
          <t>Vodka</t>
        </is>
      </c>
      <c r="C7" s="7" t="n">
        <v>500</v>
      </c>
      <c r="D7" s="9" t="n"/>
      <c r="E7" s="7" t="inlineStr">
        <is>
          <t>Kunststoff</t>
        </is>
      </c>
      <c r="F7" s="9" t="n"/>
      <c r="G7" s="9" t="n"/>
    </row>
    <row r="8">
      <c r="A8" s="7" t="inlineStr">
        <is>
          <t>Himbeere</t>
        </is>
      </c>
      <c r="B8" s="7" t="inlineStr">
        <is>
          <t>Korn</t>
        </is>
      </c>
      <c r="C8" s="7" t="n">
        <v>700</v>
      </c>
      <c r="D8" s="9" t="n"/>
      <c r="E8" s="7" t="inlineStr">
        <is>
          <t>Sonstiges</t>
        </is>
      </c>
      <c r="F8" s="9" t="n"/>
      <c r="G8" s="9" t="n"/>
    </row>
    <row r="9">
      <c r="A9" s="7" t="inlineStr">
        <is>
          <t>Traube (Marc)</t>
        </is>
      </c>
      <c r="B9" s="7" t="inlineStr">
        <is>
          <t>Marc</t>
        </is>
      </c>
      <c r="C9" s="7" t="n">
        <v>1000</v>
      </c>
      <c r="D9" s="9" t="n"/>
      <c r="E9" s="9" t="n"/>
      <c r="F9" s="9" t="n"/>
      <c r="G9" s="9" t="n"/>
    </row>
    <row r="10">
      <c r="A10" s="7" t="inlineStr">
        <is>
          <t>Getreide (Korn/Vodka/Whisky)</t>
        </is>
      </c>
      <c r="B10" s="7" t="inlineStr">
        <is>
          <t>Sambuca</t>
        </is>
      </c>
      <c r="C10" s="7" t="n">
        <v>1500</v>
      </c>
      <c r="D10" s="9" t="n"/>
      <c r="E10" s="9" t="n"/>
      <c r="F10" s="9" t="n"/>
      <c r="G10" s="9" t="n"/>
    </row>
    <row r="11">
      <c r="A11" s="7" t="inlineStr">
        <is>
          <t>Wacholder (Gin)</t>
        </is>
      </c>
      <c r="B11" s="7" t="inlineStr">
        <is>
          <t>Vizdrëpp</t>
        </is>
      </c>
      <c r="C11" s="9" t="n"/>
      <c r="D11" s="9" t="n"/>
      <c r="E11" s="9" t="n"/>
      <c r="F11" s="9" t="n"/>
      <c r="G11" s="9" t="n"/>
    </row>
    <row r="12">
      <c r="A12" s="7" t="inlineStr">
        <is>
          <t>Zuckerrohr (Rum)</t>
        </is>
      </c>
      <c r="B12" s="7" t="inlineStr">
        <is>
          <t>Kräuterbrand</t>
        </is>
      </c>
      <c r="C12" s="9" t="n"/>
      <c r="D12" s="9" t="n"/>
      <c r="E12" s="9" t="n"/>
      <c r="F12" s="9" t="n"/>
      <c r="G12" s="9" t="n"/>
    </row>
    <row r="13">
      <c r="A13" s="7" t="inlineStr">
        <is>
          <t>Kräuter</t>
        </is>
      </c>
      <c r="B13" s="7" t="inlineStr">
        <is>
          <t>Apfelchips</t>
        </is>
      </c>
      <c r="C13" s="9" t="n"/>
      <c r="D13" s="9" t="n"/>
      <c r="E13" s="9" t="n"/>
      <c r="F13" s="9" t="n"/>
      <c r="G13" s="9" t="n"/>
    </row>
    <row r="14">
      <c r="A14" s="7" t="inlineStr">
        <is>
          <t>Sonstiges</t>
        </is>
      </c>
      <c r="B14" s="7" t="inlineStr">
        <is>
          <t>Geschenkset</t>
        </is>
      </c>
      <c r="C14" s="9" t="n"/>
      <c r="D14" s="9" t="n"/>
      <c r="E14" s="9" t="n"/>
      <c r="F14" s="9" t="n"/>
      <c r="G14" s="9" t="n"/>
    </row>
    <row r="15">
      <c r="A15" s="9" t="n"/>
      <c r="B15" s="7" t="inlineStr">
        <is>
          <t>Handelsware</t>
        </is>
      </c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12" customWidth="1" min="5" max="5"/>
    <col width="45" customWidth="1" min="6" max="6"/>
    <col width="30" customWidth="1" min="7" max="7"/>
    <col width="20" customWidth="1" min="8" max="8"/>
    <col width="12" customWidth="1" min="9" max="9"/>
    <col width="14" customWidth="1" min="10" max="10"/>
    <col width="30" customWidth="1" min="11" max="11"/>
  </cols>
  <sheetData>
    <row r="1" ht="32" customHeight="1">
      <c r="A1" s="10" t="inlineStr">
        <is>
          <t>Artikelnummer (SKU)</t>
        </is>
      </c>
      <c r="B1" s="10" t="inlineStr">
        <is>
          <t>Produktname</t>
        </is>
      </c>
      <c r="C1" s="10" t="inlineStr">
        <is>
          <t>Obstart / Kategorie</t>
        </is>
      </c>
      <c r="D1" s="10" t="inlineStr">
        <is>
          <t>Produkttyp</t>
        </is>
      </c>
      <c r="E1" s="10" t="inlineStr">
        <is>
          <t>Alkohol % vol</t>
        </is>
      </c>
      <c r="F1" s="10" t="inlineStr">
        <is>
          <t>Beschreibung (Website)</t>
        </is>
      </c>
      <c r="G1" s="10" t="inlineStr">
        <is>
          <t>Zutaten / Allergene</t>
        </is>
      </c>
      <c r="H1" s="10" t="inlineStr">
        <is>
          <t>Herkunft Obst (eigen / zugekauft)</t>
        </is>
      </c>
      <c r="I1" s="10" t="inlineStr">
        <is>
          <t>Aktiv (Ja/Nein)</t>
        </is>
      </c>
      <c r="J1" s="10" t="inlineStr">
        <is>
          <t>Foto vorhanden (Ja/Nein)</t>
        </is>
      </c>
      <c r="K1" s="10" t="inlineStr">
        <is>
          <t>Bemerkung</t>
        </is>
      </c>
    </row>
    <row r="2">
      <c r="A2" s="11" t="inlineStr">
        <is>
          <t>APF-BRD-001</t>
        </is>
      </c>
      <c r="B2" s="11" t="inlineStr">
        <is>
          <t>Apfelbrand</t>
        </is>
      </c>
      <c r="C2" s="11" t="inlineStr">
        <is>
          <t>Apfel</t>
        </is>
      </c>
      <c r="D2" s="11" t="inlineStr">
        <is>
          <t>Brand</t>
        </is>
      </c>
      <c r="E2" s="11" t="n">
        <v>40</v>
      </c>
      <c r="F2" s="11" t="inlineStr">
        <is>
          <t>Klarer Brand aus eigenen Streuobst-Äpfeln, mild und fruchtig.</t>
        </is>
      </c>
      <c r="G2" s="11" t="inlineStr">
        <is>
          <t>Enthält Alkohol</t>
        </is>
      </c>
      <c r="H2" s="11" t="inlineStr">
        <is>
          <t>eigen</t>
        </is>
      </c>
      <c r="I2" s="11" t="inlineStr">
        <is>
          <t>Ja</t>
        </is>
      </c>
      <c r="J2" s="11" t="inlineStr">
        <is>
          <t>Nein</t>
        </is>
      </c>
      <c r="K2" s="11" t="inlineStr">
        <is>
          <t>Beispielzeile – bitte überschreiben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</row>
  </sheetData>
  <autoFilter ref="A1:K301"/>
  <dataValidations count="4">
    <dataValidation sqref="C2:C301" showDropDown="0" showInputMessage="0" showErrorMessage="0" allowBlank="1" type="list">
      <formula1>=Listen!$A$2:$A$41</formula1>
    </dataValidation>
    <dataValidation sqref="D2:D301" showDropDown="0" showInputMessage="0" showErrorMessage="0" allowBlank="1" type="list">
      <formula1>=Listen!$B$2:$B$41</formula1>
    </dataValidation>
    <dataValidation sqref="I2:I301" showDropDown="0" showInputMessage="0" showErrorMessage="0" allowBlank="1" type="list">
      <formula1>=Listen!$G$2:$G$41</formula1>
    </dataValidation>
    <dataValidation sqref="J2:J301" showDropDown="0" showInputMessage="0" showErrorMessage="0" allowBlank="1" type="list">
      <formula1>=Listen!$G$2:$G$41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6" customWidth="1" min="4" max="4"/>
    <col width="13" customWidth="1" min="5" max="5"/>
    <col width="10" customWidth="1" min="6" max="6"/>
    <col width="14" customWidth="1" min="7" max="7"/>
    <col width="16" customWidth="1" min="8" max="8"/>
    <col width="16" customWidth="1" min="9" max="9"/>
    <col width="12" customWidth="1" min="10" max="10"/>
    <col width="14" customWidth="1" min="11" max="11"/>
    <col width="14" customWidth="1" min="12" max="12"/>
    <col width="30" customWidth="1" min="13" max="13"/>
  </cols>
  <sheetData>
    <row r="1" ht="32" customHeight="1">
      <c r="A1" s="10" t="inlineStr">
        <is>
          <t>Artikelnummer (SKU)</t>
        </is>
      </c>
      <c r="B1" s="10" t="inlineStr">
        <is>
          <t>Produktname (automatisch)</t>
        </is>
      </c>
      <c r="C1" s="10" t="inlineStr">
        <is>
          <t>Flaschengröße (ml)</t>
        </is>
      </c>
      <c r="D1" s="10" t="inlineStr">
        <is>
          <t>EAN / Barcode</t>
        </is>
      </c>
      <c r="E1" s="10" t="inlineStr">
        <is>
          <t>Preis netto (€)</t>
        </is>
      </c>
      <c r="F1" s="10" t="inlineStr">
        <is>
          <t>MwSt-Satz</t>
        </is>
      </c>
      <c r="G1" s="10" t="inlineStr">
        <is>
          <t>Preis brutto (€)</t>
        </is>
      </c>
      <c r="H1" s="10" t="inlineStr">
        <is>
          <t>Grundpreis brutto (€/l)</t>
        </is>
      </c>
      <c r="I1" s="10" t="inlineStr">
        <is>
          <t>Lagerbestand Flaschen (Stichtag)</t>
        </is>
      </c>
      <c r="J1" s="10" t="inlineStr">
        <is>
          <t>Mindestbestand</t>
        </is>
      </c>
      <c r="K1" s="10" t="inlineStr">
        <is>
          <t>Gewicht Flasche voll (g)</t>
        </is>
      </c>
      <c r="L1" s="10" t="inlineStr">
        <is>
          <t>Online verkaufen (Ja/Nein)</t>
        </is>
      </c>
      <c r="M1" s="10" t="inlineStr">
        <is>
          <t>Bemerkung</t>
        </is>
      </c>
    </row>
    <row r="2">
      <c r="A2" s="11" t="inlineStr">
        <is>
          <t>APF-BRD-001</t>
        </is>
      </c>
      <c r="B2" s="12">
        <f>IFERROR(INDEX(Produkte!$B$2:$B$301,MATCH(A2,Produkte!$A$2:$A$301,0)),"")</f>
        <v/>
      </c>
      <c r="C2" s="11" t="n">
        <v>500</v>
      </c>
      <c r="D2" s="11" t="inlineStr">
        <is>
          <t>5411234567890</t>
        </is>
      </c>
      <c r="E2" s="13" t="n">
        <v>18.5</v>
      </c>
      <c r="F2" s="14" t="n">
        <v>0.17</v>
      </c>
      <c r="G2" s="15">
        <f>IF(E2="","",ROUND(E2*(1+F2),2))</f>
        <v/>
      </c>
      <c r="H2" s="15">
        <f>IF(OR(E2="",C2=""),"",ROUND(G2/(C2/1000),2))</f>
        <v/>
      </c>
      <c r="I2" s="11" t="n">
        <v>48</v>
      </c>
      <c r="J2" s="11" t="n">
        <v>12</v>
      </c>
      <c r="K2" s="11" t="n">
        <v>950</v>
      </c>
      <c r="L2" s="11" t="inlineStr">
        <is>
          <t>Ja</t>
        </is>
      </c>
      <c r="M2" s="11" t="inlineStr">
        <is>
          <t>Beispielzeile – bitte überschreiben</t>
        </is>
      </c>
    </row>
    <row r="3">
      <c r="A3" s="7" t="n"/>
      <c r="B3" s="12">
        <f>IFERROR(INDEX(Produkte!$B$2:$B$301,MATCH(A3,Produkte!$A$2:$A$301,0)),"")</f>
        <v/>
      </c>
      <c r="C3" s="7" t="n"/>
      <c r="D3" s="7" t="n"/>
      <c r="E3" s="16" t="n"/>
      <c r="F3" s="8" t="n"/>
      <c r="G3" s="15">
        <f>IF(E3="","",ROUND(E3*(1+F3),2))</f>
        <v/>
      </c>
      <c r="H3" s="15">
        <f>IF(OR(E3="",C3=""),"",ROUND(G3/(C3/1000),2))</f>
        <v/>
      </c>
      <c r="I3" s="7" t="n"/>
      <c r="J3" s="7" t="n"/>
      <c r="K3" s="7" t="n"/>
      <c r="L3" s="7" t="n"/>
      <c r="M3" s="7" t="n"/>
    </row>
    <row r="4">
      <c r="A4" s="7" t="n"/>
      <c r="B4" s="12">
        <f>IFERROR(INDEX(Produkte!$B$2:$B$301,MATCH(A4,Produkte!$A$2:$A$301,0)),"")</f>
        <v/>
      </c>
      <c r="C4" s="7" t="n"/>
      <c r="D4" s="7" t="n"/>
      <c r="E4" s="16" t="n"/>
      <c r="F4" s="8" t="n"/>
      <c r="G4" s="15">
        <f>IF(E4="","",ROUND(E4*(1+F4),2))</f>
        <v/>
      </c>
      <c r="H4" s="15">
        <f>IF(OR(E4="",C4=""),"",ROUND(G4/(C4/1000),2))</f>
        <v/>
      </c>
      <c r="I4" s="7" t="n"/>
      <c r="J4" s="7" t="n"/>
      <c r="K4" s="7" t="n"/>
      <c r="L4" s="7" t="n"/>
      <c r="M4" s="7" t="n"/>
    </row>
    <row r="5">
      <c r="A5" s="7" t="n"/>
      <c r="B5" s="12">
        <f>IFERROR(INDEX(Produkte!$B$2:$B$301,MATCH(A5,Produkte!$A$2:$A$301,0)),"")</f>
        <v/>
      </c>
      <c r="C5" s="7" t="n"/>
      <c r="D5" s="7" t="n"/>
      <c r="E5" s="16" t="n"/>
      <c r="F5" s="8" t="n"/>
      <c r="G5" s="15">
        <f>IF(E5="","",ROUND(E5*(1+F5),2))</f>
        <v/>
      </c>
      <c r="H5" s="15">
        <f>IF(OR(E5="",C5=""),"",ROUND(G5/(C5/1000),2))</f>
        <v/>
      </c>
      <c r="I5" s="7" t="n"/>
      <c r="J5" s="7" t="n"/>
      <c r="K5" s="7" t="n"/>
      <c r="L5" s="7" t="n"/>
      <c r="M5" s="7" t="n"/>
    </row>
    <row r="6">
      <c r="A6" s="7" t="n"/>
      <c r="B6" s="12">
        <f>IFERROR(INDEX(Produkte!$B$2:$B$301,MATCH(A6,Produkte!$A$2:$A$301,0)),"")</f>
        <v/>
      </c>
      <c r="C6" s="7" t="n"/>
      <c r="D6" s="7" t="n"/>
      <c r="E6" s="16" t="n"/>
      <c r="F6" s="8" t="n"/>
      <c r="G6" s="15">
        <f>IF(E6="","",ROUND(E6*(1+F6),2))</f>
        <v/>
      </c>
      <c r="H6" s="15">
        <f>IF(OR(E6="",C6=""),"",ROUND(G6/(C6/1000),2))</f>
        <v/>
      </c>
      <c r="I6" s="7" t="n"/>
      <c r="J6" s="7" t="n"/>
      <c r="K6" s="7" t="n"/>
      <c r="L6" s="7" t="n"/>
      <c r="M6" s="7" t="n"/>
    </row>
    <row r="7">
      <c r="A7" s="7" t="n"/>
      <c r="B7" s="12">
        <f>IFERROR(INDEX(Produkte!$B$2:$B$301,MATCH(A7,Produkte!$A$2:$A$301,0)),"")</f>
        <v/>
      </c>
      <c r="C7" s="7" t="n"/>
      <c r="D7" s="7" t="n"/>
      <c r="E7" s="16" t="n"/>
      <c r="F7" s="8" t="n"/>
      <c r="G7" s="15">
        <f>IF(E7="","",ROUND(E7*(1+F7),2))</f>
        <v/>
      </c>
      <c r="H7" s="15">
        <f>IF(OR(E7="",C7=""),"",ROUND(G7/(C7/1000),2))</f>
        <v/>
      </c>
      <c r="I7" s="7" t="n"/>
      <c r="J7" s="7" t="n"/>
      <c r="K7" s="7" t="n"/>
      <c r="L7" s="7" t="n"/>
      <c r="M7" s="7" t="n"/>
    </row>
    <row r="8">
      <c r="A8" s="7" t="n"/>
      <c r="B8" s="12">
        <f>IFERROR(INDEX(Produkte!$B$2:$B$301,MATCH(A8,Produkte!$A$2:$A$301,0)),"")</f>
        <v/>
      </c>
      <c r="C8" s="7" t="n"/>
      <c r="D8" s="7" t="n"/>
      <c r="E8" s="16" t="n"/>
      <c r="F8" s="8" t="n"/>
      <c r="G8" s="15">
        <f>IF(E8="","",ROUND(E8*(1+F8),2))</f>
        <v/>
      </c>
      <c r="H8" s="15">
        <f>IF(OR(E8="",C8=""),"",ROUND(G8/(C8/1000),2))</f>
        <v/>
      </c>
      <c r="I8" s="7" t="n"/>
      <c r="J8" s="7" t="n"/>
      <c r="K8" s="7" t="n"/>
      <c r="L8" s="7" t="n"/>
      <c r="M8" s="7" t="n"/>
    </row>
    <row r="9">
      <c r="A9" s="7" t="n"/>
      <c r="B9" s="12">
        <f>IFERROR(INDEX(Produkte!$B$2:$B$301,MATCH(A9,Produkte!$A$2:$A$301,0)),"")</f>
        <v/>
      </c>
      <c r="C9" s="7" t="n"/>
      <c r="D9" s="7" t="n"/>
      <c r="E9" s="16" t="n"/>
      <c r="F9" s="8" t="n"/>
      <c r="G9" s="15">
        <f>IF(E9="","",ROUND(E9*(1+F9),2))</f>
        <v/>
      </c>
      <c r="H9" s="15">
        <f>IF(OR(E9="",C9=""),"",ROUND(G9/(C9/1000),2))</f>
        <v/>
      </c>
      <c r="I9" s="7" t="n"/>
      <c r="J9" s="7" t="n"/>
      <c r="K9" s="7" t="n"/>
      <c r="L9" s="7" t="n"/>
      <c r="M9" s="7" t="n"/>
    </row>
    <row r="10">
      <c r="A10" s="7" t="n"/>
      <c r="B10" s="12">
        <f>IFERROR(INDEX(Produkte!$B$2:$B$301,MATCH(A10,Produkte!$A$2:$A$301,0)),"")</f>
        <v/>
      </c>
      <c r="C10" s="7" t="n"/>
      <c r="D10" s="7" t="n"/>
      <c r="E10" s="16" t="n"/>
      <c r="F10" s="8" t="n"/>
      <c r="G10" s="15">
        <f>IF(E10="","",ROUND(E10*(1+F10),2))</f>
        <v/>
      </c>
      <c r="H10" s="15">
        <f>IF(OR(E10="",C10=""),"",ROUND(G10/(C10/1000),2))</f>
        <v/>
      </c>
      <c r="I10" s="7" t="n"/>
      <c r="J10" s="7" t="n"/>
      <c r="K10" s="7" t="n"/>
      <c r="L10" s="7" t="n"/>
      <c r="M10" s="7" t="n"/>
    </row>
    <row r="11">
      <c r="A11" s="7" t="n"/>
      <c r="B11" s="12">
        <f>IFERROR(INDEX(Produkte!$B$2:$B$301,MATCH(A11,Produkte!$A$2:$A$301,0)),"")</f>
        <v/>
      </c>
      <c r="C11" s="7" t="n"/>
      <c r="D11" s="7" t="n"/>
      <c r="E11" s="16" t="n"/>
      <c r="F11" s="8" t="n"/>
      <c r="G11" s="15">
        <f>IF(E11="","",ROUND(E11*(1+F11),2))</f>
        <v/>
      </c>
      <c r="H11" s="15">
        <f>IF(OR(E11="",C11=""),"",ROUND(G11/(C11/1000),2))</f>
        <v/>
      </c>
      <c r="I11" s="7" t="n"/>
      <c r="J11" s="7" t="n"/>
      <c r="K11" s="7" t="n"/>
      <c r="L11" s="7" t="n"/>
      <c r="M11" s="7" t="n"/>
    </row>
    <row r="12">
      <c r="A12" s="7" t="n"/>
      <c r="B12" s="12">
        <f>IFERROR(INDEX(Produkte!$B$2:$B$301,MATCH(A12,Produkte!$A$2:$A$301,0)),"")</f>
        <v/>
      </c>
      <c r="C12" s="7" t="n"/>
      <c r="D12" s="7" t="n"/>
      <c r="E12" s="16" t="n"/>
      <c r="F12" s="8" t="n"/>
      <c r="G12" s="15">
        <f>IF(E12="","",ROUND(E12*(1+F12),2))</f>
        <v/>
      </c>
      <c r="H12" s="15">
        <f>IF(OR(E12="",C12=""),"",ROUND(G12/(C12/1000),2))</f>
        <v/>
      </c>
      <c r="I12" s="7" t="n"/>
      <c r="J12" s="7" t="n"/>
      <c r="K12" s="7" t="n"/>
      <c r="L12" s="7" t="n"/>
      <c r="M12" s="7" t="n"/>
    </row>
    <row r="13">
      <c r="A13" s="7" t="n"/>
      <c r="B13" s="12">
        <f>IFERROR(INDEX(Produkte!$B$2:$B$301,MATCH(A13,Produkte!$A$2:$A$301,0)),"")</f>
        <v/>
      </c>
      <c r="C13" s="7" t="n"/>
      <c r="D13" s="7" t="n"/>
      <c r="E13" s="16" t="n"/>
      <c r="F13" s="8" t="n"/>
      <c r="G13" s="15">
        <f>IF(E13="","",ROUND(E13*(1+F13),2))</f>
        <v/>
      </c>
      <c r="H13" s="15">
        <f>IF(OR(E13="",C13=""),"",ROUND(G13/(C13/1000),2))</f>
        <v/>
      </c>
      <c r="I13" s="7" t="n"/>
      <c r="J13" s="7" t="n"/>
      <c r="K13" s="7" t="n"/>
      <c r="L13" s="7" t="n"/>
      <c r="M13" s="7" t="n"/>
    </row>
    <row r="14">
      <c r="A14" s="7" t="n"/>
      <c r="B14" s="12">
        <f>IFERROR(INDEX(Produkte!$B$2:$B$301,MATCH(A14,Produkte!$A$2:$A$301,0)),"")</f>
        <v/>
      </c>
      <c r="C14" s="7" t="n"/>
      <c r="D14" s="7" t="n"/>
      <c r="E14" s="16" t="n"/>
      <c r="F14" s="8" t="n"/>
      <c r="G14" s="15">
        <f>IF(E14="","",ROUND(E14*(1+F14),2))</f>
        <v/>
      </c>
      <c r="H14" s="15">
        <f>IF(OR(E14="",C14=""),"",ROUND(G14/(C14/1000),2))</f>
        <v/>
      </c>
      <c r="I14" s="7" t="n"/>
      <c r="J14" s="7" t="n"/>
      <c r="K14" s="7" t="n"/>
      <c r="L14" s="7" t="n"/>
      <c r="M14" s="7" t="n"/>
    </row>
    <row r="15">
      <c r="A15" s="7" t="n"/>
      <c r="B15" s="12">
        <f>IFERROR(INDEX(Produkte!$B$2:$B$301,MATCH(A15,Produkte!$A$2:$A$301,0)),"")</f>
        <v/>
      </c>
      <c r="C15" s="7" t="n"/>
      <c r="D15" s="7" t="n"/>
      <c r="E15" s="16" t="n"/>
      <c r="F15" s="8" t="n"/>
      <c r="G15" s="15">
        <f>IF(E15="","",ROUND(E15*(1+F15),2))</f>
        <v/>
      </c>
      <c r="H15" s="15">
        <f>IF(OR(E15="",C15=""),"",ROUND(G15/(C15/1000),2))</f>
        <v/>
      </c>
      <c r="I15" s="7" t="n"/>
      <c r="J15" s="7" t="n"/>
      <c r="K15" s="7" t="n"/>
      <c r="L15" s="7" t="n"/>
      <c r="M15" s="7" t="n"/>
    </row>
    <row r="16">
      <c r="A16" s="7" t="n"/>
      <c r="B16" s="12">
        <f>IFERROR(INDEX(Produkte!$B$2:$B$301,MATCH(A16,Produkte!$A$2:$A$301,0)),"")</f>
        <v/>
      </c>
      <c r="C16" s="7" t="n"/>
      <c r="D16" s="7" t="n"/>
      <c r="E16" s="16" t="n"/>
      <c r="F16" s="8" t="n"/>
      <c r="G16" s="15">
        <f>IF(E16="","",ROUND(E16*(1+F16),2))</f>
        <v/>
      </c>
      <c r="H16" s="15">
        <f>IF(OR(E16="",C16=""),"",ROUND(G16/(C16/1000),2))</f>
        <v/>
      </c>
      <c r="I16" s="7" t="n"/>
      <c r="J16" s="7" t="n"/>
      <c r="K16" s="7" t="n"/>
      <c r="L16" s="7" t="n"/>
      <c r="M16" s="7" t="n"/>
    </row>
    <row r="17">
      <c r="A17" s="7" t="n"/>
      <c r="B17" s="12">
        <f>IFERROR(INDEX(Produkte!$B$2:$B$301,MATCH(A17,Produkte!$A$2:$A$301,0)),"")</f>
        <v/>
      </c>
      <c r="C17" s="7" t="n"/>
      <c r="D17" s="7" t="n"/>
      <c r="E17" s="16" t="n"/>
      <c r="F17" s="8" t="n"/>
      <c r="G17" s="15">
        <f>IF(E17="","",ROUND(E17*(1+F17),2))</f>
        <v/>
      </c>
      <c r="H17" s="15">
        <f>IF(OR(E17="",C17=""),"",ROUND(G17/(C17/1000),2))</f>
        <v/>
      </c>
      <c r="I17" s="7" t="n"/>
      <c r="J17" s="7" t="n"/>
      <c r="K17" s="7" t="n"/>
      <c r="L17" s="7" t="n"/>
      <c r="M17" s="7" t="n"/>
    </row>
    <row r="18">
      <c r="A18" s="7" t="n"/>
      <c r="B18" s="12">
        <f>IFERROR(INDEX(Produkte!$B$2:$B$301,MATCH(A18,Produkte!$A$2:$A$301,0)),"")</f>
        <v/>
      </c>
      <c r="C18" s="7" t="n"/>
      <c r="D18" s="7" t="n"/>
      <c r="E18" s="16" t="n"/>
      <c r="F18" s="8" t="n"/>
      <c r="G18" s="15">
        <f>IF(E18="","",ROUND(E18*(1+F18),2))</f>
        <v/>
      </c>
      <c r="H18" s="15">
        <f>IF(OR(E18="",C18=""),"",ROUND(G18/(C18/1000),2))</f>
        <v/>
      </c>
      <c r="I18" s="7" t="n"/>
      <c r="J18" s="7" t="n"/>
      <c r="K18" s="7" t="n"/>
      <c r="L18" s="7" t="n"/>
      <c r="M18" s="7" t="n"/>
    </row>
    <row r="19">
      <c r="A19" s="7" t="n"/>
      <c r="B19" s="12">
        <f>IFERROR(INDEX(Produkte!$B$2:$B$301,MATCH(A19,Produkte!$A$2:$A$301,0)),"")</f>
        <v/>
      </c>
      <c r="C19" s="7" t="n"/>
      <c r="D19" s="7" t="n"/>
      <c r="E19" s="16" t="n"/>
      <c r="F19" s="8" t="n"/>
      <c r="G19" s="15">
        <f>IF(E19="","",ROUND(E19*(1+F19),2))</f>
        <v/>
      </c>
      <c r="H19" s="15">
        <f>IF(OR(E19="",C19=""),"",ROUND(G19/(C19/1000),2))</f>
        <v/>
      </c>
      <c r="I19" s="7" t="n"/>
      <c r="J19" s="7" t="n"/>
      <c r="K19" s="7" t="n"/>
      <c r="L19" s="7" t="n"/>
      <c r="M19" s="7" t="n"/>
    </row>
    <row r="20">
      <c r="A20" s="7" t="n"/>
      <c r="B20" s="12">
        <f>IFERROR(INDEX(Produkte!$B$2:$B$301,MATCH(A20,Produkte!$A$2:$A$301,0)),"")</f>
        <v/>
      </c>
      <c r="C20" s="7" t="n"/>
      <c r="D20" s="7" t="n"/>
      <c r="E20" s="16" t="n"/>
      <c r="F20" s="8" t="n"/>
      <c r="G20" s="15">
        <f>IF(E20="","",ROUND(E20*(1+F20),2))</f>
        <v/>
      </c>
      <c r="H20" s="15">
        <f>IF(OR(E20="",C20=""),"",ROUND(G20/(C20/1000),2))</f>
        <v/>
      </c>
      <c r="I20" s="7" t="n"/>
      <c r="J20" s="7" t="n"/>
      <c r="K20" s="7" t="n"/>
      <c r="L20" s="7" t="n"/>
      <c r="M20" s="7" t="n"/>
    </row>
    <row r="21">
      <c r="A21" s="7" t="n"/>
      <c r="B21" s="12">
        <f>IFERROR(INDEX(Produkte!$B$2:$B$301,MATCH(A21,Produkte!$A$2:$A$301,0)),"")</f>
        <v/>
      </c>
      <c r="C21" s="7" t="n"/>
      <c r="D21" s="7" t="n"/>
      <c r="E21" s="16" t="n"/>
      <c r="F21" s="8" t="n"/>
      <c r="G21" s="15">
        <f>IF(E21="","",ROUND(E21*(1+F21),2))</f>
        <v/>
      </c>
      <c r="H21" s="15">
        <f>IF(OR(E21="",C21=""),"",ROUND(G21/(C21/1000),2))</f>
        <v/>
      </c>
      <c r="I21" s="7" t="n"/>
      <c r="J21" s="7" t="n"/>
      <c r="K21" s="7" t="n"/>
      <c r="L21" s="7" t="n"/>
      <c r="M21" s="7" t="n"/>
    </row>
    <row r="22">
      <c r="A22" s="7" t="n"/>
      <c r="B22" s="12">
        <f>IFERROR(INDEX(Produkte!$B$2:$B$301,MATCH(A22,Produkte!$A$2:$A$301,0)),"")</f>
        <v/>
      </c>
      <c r="C22" s="7" t="n"/>
      <c r="D22" s="7" t="n"/>
      <c r="E22" s="16" t="n"/>
      <c r="F22" s="8" t="n"/>
      <c r="G22" s="15">
        <f>IF(E22="","",ROUND(E22*(1+F22),2))</f>
        <v/>
      </c>
      <c r="H22" s="15">
        <f>IF(OR(E22="",C22=""),"",ROUND(G22/(C22/1000),2))</f>
        <v/>
      </c>
      <c r="I22" s="7" t="n"/>
      <c r="J22" s="7" t="n"/>
      <c r="K22" s="7" t="n"/>
      <c r="L22" s="7" t="n"/>
      <c r="M22" s="7" t="n"/>
    </row>
    <row r="23">
      <c r="A23" s="7" t="n"/>
      <c r="B23" s="12">
        <f>IFERROR(INDEX(Produkte!$B$2:$B$301,MATCH(A23,Produkte!$A$2:$A$301,0)),"")</f>
        <v/>
      </c>
      <c r="C23" s="7" t="n"/>
      <c r="D23" s="7" t="n"/>
      <c r="E23" s="16" t="n"/>
      <c r="F23" s="8" t="n"/>
      <c r="G23" s="15">
        <f>IF(E23="","",ROUND(E23*(1+F23),2))</f>
        <v/>
      </c>
      <c r="H23" s="15">
        <f>IF(OR(E23="",C23=""),"",ROUND(G23/(C23/1000),2))</f>
        <v/>
      </c>
      <c r="I23" s="7" t="n"/>
      <c r="J23" s="7" t="n"/>
      <c r="K23" s="7" t="n"/>
      <c r="L23" s="7" t="n"/>
      <c r="M23" s="7" t="n"/>
    </row>
    <row r="24">
      <c r="A24" s="7" t="n"/>
      <c r="B24" s="12">
        <f>IFERROR(INDEX(Produkte!$B$2:$B$301,MATCH(A24,Produkte!$A$2:$A$301,0)),"")</f>
        <v/>
      </c>
      <c r="C24" s="7" t="n"/>
      <c r="D24" s="7" t="n"/>
      <c r="E24" s="16" t="n"/>
      <c r="F24" s="8" t="n"/>
      <c r="G24" s="15">
        <f>IF(E24="","",ROUND(E24*(1+F24),2))</f>
        <v/>
      </c>
      <c r="H24" s="15">
        <f>IF(OR(E24="",C24=""),"",ROUND(G24/(C24/1000),2))</f>
        <v/>
      </c>
      <c r="I24" s="7" t="n"/>
      <c r="J24" s="7" t="n"/>
      <c r="K24" s="7" t="n"/>
      <c r="L24" s="7" t="n"/>
      <c r="M24" s="7" t="n"/>
    </row>
    <row r="25">
      <c r="A25" s="7" t="n"/>
      <c r="B25" s="12">
        <f>IFERROR(INDEX(Produkte!$B$2:$B$301,MATCH(A25,Produkte!$A$2:$A$301,0)),"")</f>
        <v/>
      </c>
      <c r="C25" s="7" t="n"/>
      <c r="D25" s="7" t="n"/>
      <c r="E25" s="16" t="n"/>
      <c r="F25" s="8" t="n"/>
      <c r="G25" s="15">
        <f>IF(E25="","",ROUND(E25*(1+F25),2))</f>
        <v/>
      </c>
      <c r="H25" s="15">
        <f>IF(OR(E25="",C25=""),"",ROUND(G25/(C25/1000),2))</f>
        <v/>
      </c>
      <c r="I25" s="7" t="n"/>
      <c r="J25" s="7" t="n"/>
      <c r="K25" s="7" t="n"/>
      <c r="L25" s="7" t="n"/>
      <c r="M25" s="7" t="n"/>
    </row>
    <row r="26">
      <c r="A26" s="7" t="n"/>
      <c r="B26" s="12">
        <f>IFERROR(INDEX(Produkte!$B$2:$B$301,MATCH(A26,Produkte!$A$2:$A$301,0)),"")</f>
        <v/>
      </c>
      <c r="C26" s="7" t="n"/>
      <c r="D26" s="7" t="n"/>
      <c r="E26" s="16" t="n"/>
      <c r="F26" s="8" t="n"/>
      <c r="G26" s="15">
        <f>IF(E26="","",ROUND(E26*(1+F26),2))</f>
        <v/>
      </c>
      <c r="H26" s="15">
        <f>IF(OR(E26="",C26=""),"",ROUND(G26/(C26/1000),2))</f>
        <v/>
      </c>
      <c r="I26" s="7" t="n"/>
      <c r="J26" s="7" t="n"/>
      <c r="K26" s="7" t="n"/>
      <c r="L26" s="7" t="n"/>
      <c r="M26" s="7" t="n"/>
    </row>
    <row r="27">
      <c r="A27" s="7" t="n"/>
      <c r="B27" s="12">
        <f>IFERROR(INDEX(Produkte!$B$2:$B$301,MATCH(A27,Produkte!$A$2:$A$301,0)),"")</f>
        <v/>
      </c>
      <c r="C27" s="7" t="n"/>
      <c r="D27" s="7" t="n"/>
      <c r="E27" s="16" t="n"/>
      <c r="F27" s="8" t="n"/>
      <c r="G27" s="15">
        <f>IF(E27="","",ROUND(E27*(1+F27),2))</f>
        <v/>
      </c>
      <c r="H27" s="15">
        <f>IF(OR(E27="",C27=""),"",ROUND(G27/(C27/1000),2))</f>
        <v/>
      </c>
      <c r="I27" s="7" t="n"/>
      <c r="J27" s="7" t="n"/>
      <c r="K27" s="7" t="n"/>
      <c r="L27" s="7" t="n"/>
      <c r="M27" s="7" t="n"/>
    </row>
    <row r="28">
      <c r="A28" s="7" t="n"/>
      <c r="B28" s="12">
        <f>IFERROR(INDEX(Produkte!$B$2:$B$301,MATCH(A28,Produkte!$A$2:$A$301,0)),"")</f>
        <v/>
      </c>
      <c r="C28" s="7" t="n"/>
      <c r="D28" s="7" t="n"/>
      <c r="E28" s="16" t="n"/>
      <c r="F28" s="8" t="n"/>
      <c r="G28" s="15">
        <f>IF(E28="","",ROUND(E28*(1+F28),2))</f>
        <v/>
      </c>
      <c r="H28" s="15">
        <f>IF(OR(E28="",C28=""),"",ROUND(G28/(C28/1000),2))</f>
        <v/>
      </c>
      <c r="I28" s="7" t="n"/>
      <c r="J28" s="7" t="n"/>
      <c r="K28" s="7" t="n"/>
      <c r="L28" s="7" t="n"/>
      <c r="M28" s="7" t="n"/>
    </row>
    <row r="29">
      <c r="A29" s="7" t="n"/>
      <c r="B29" s="12">
        <f>IFERROR(INDEX(Produkte!$B$2:$B$301,MATCH(A29,Produkte!$A$2:$A$301,0)),"")</f>
        <v/>
      </c>
      <c r="C29" s="7" t="n"/>
      <c r="D29" s="7" t="n"/>
      <c r="E29" s="16" t="n"/>
      <c r="F29" s="8" t="n"/>
      <c r="G29" s="15">
        <f>IF(E29="","",ROUND(E29*(1+F29),2))</f>
        <v/>
      </c>
      <c r="H29" s="15">
        <f>IF(OR(E29="",C29=""),"",ROUND(G29/(C29/1000),2))</f>
        <v/>
      </c>
      <c r="I29" s="7" t="n"/>
      <c r="J29" s="7" t="n"/>
      <c r="K29" s="7" t="n"/>
      <c r="L29" s="7" t="n"/>
      <c r="M29" s="7" t="n"/>
    </row>
    <row r="30">
      <c r="A30" s="7" t="n"/>
      <c r="B30" s="12">
        <f>IFERROR(INDEX(Produkte!$B$2:$B$301,MATCH(A30,Produkte!$A$2:$A$301,0)),"")</f>
        <v/>
      </c>
      <c r="C30" s="7" t="n"/>
      <c r="D30" s="7" t="n"/>
      <c r="E30" s="16" t="n"/>
      <c r="F30" s="8" t="n"/>
      <c r="G30" s="15">
        <f>IF(E30="","",ROUND(E30*(1+F30),2))</f>
        <v/>
      </c>
      <c r="H30" s="15">
        <f>IF(OR(E30="",C30=""),"",ROUND(G30/(C30/1000),2))</f>
        <v/>
      </c>
      <c r="I30" s="7" t="n"/>
      <c r="J30" s="7" t="n"/>
      <c r="K30" s="7" t="n"/>
      <c r="L30" s="7" t="n"/>
      <c r="M30" s="7" t="n"/>
    </row>
    <row r="31">
      <c r="A31" s="7" t="n"/>
      <c r="B31" s="12">
        <f>IFERROR(INDEX(Produkte!$B$2:$B$301,MATCH(A31,Produkte!$A$2:$A$301,0)),"")</f>
        <v/>
      </c>
      <c r="C31" s="7" t="n"/>
      <c r="D31" s="7" t="n"/>
      <c r="E31" s="16" t="n"/>
      <c r="F31" s="8" t="n"/>
      <c r="G31" s="15">
        <f>IF(E31="","",ROUND(E31*(1+F31),2))</f>
        <v/>
      </c>
      <c r="H31" s="15">
        <f>IF(OR(E31="",C31=""),"",ROUND(G31/(C31/1000),2))</f>
        <v/>
      </c>
      <c r="I31" s="7" t="n"/>
      <c r="J31" s="7" t="n"/>
      <c r="K31" s="7" t="n"/>
      <c r="L31" s="7" t="n"/>
      <c r="M31" s="7" t="n"/>
    </row>
    <row r="32">
      <c r="A32" s="7" t="n"/>
      <c r="B32" s="12">
        <f>IFERROR(INDEX(Produkte!$B$2:$B$301,MATCH(A32,Produkte!$A$2:$A$301,0)),"")</f>
        <v/>
      </c>
      <c r="C32" s="7" t="n"/>
      <c r="D32" s="7" t="n"/>
      <c r="E32" s="16" t="n"/>
      <c r="F32" s="8" t="n"/>
      <c r="G32" s="15">
        <f>IF(E32="","",ROUND(E32*(1+F32),2))</f>
        <v/>
      </c>
      <c r="H32" s="15">
        <f>IF(OR(E32="",C32=""),"",ROUND(G32/(C32/1000),2))</f>
        <v/>
      </c>
      <c r="I32" s="7" t="n"/>
      <c r="J32" s="7" t="n"/>
      <c r="K32" s="7" t="n"/>
      <c r="L32" s="7" t="n"/>
      <c r="M32" s="7" t="n"/>
    </row>
    <row r="33">
      <c r="A33" s="7" t="n"/>
      <c r="B33" s="12">
        <f>IFERROR(INDEX(Produkte!$B$2:$B$301,MATCH(A33,Produkte!$A$2:$A$301,0)),"")</f>
        <v/>
      </c>
      <c r="C33" s="7" t="n"/>
      <c r="D33" s="7" t="n"/>
      <c r="E33" s="16" t="n"/>
      <c r="F33" s="8" t="n"/>
      <c r="G33" s="15">
        <f>IF(E33="","",ROUND(E33*(1+F33),2))</f>
        <v/>
      </c>
      <c r="H33" s="15">
        <f>IF(OR(E33="",C33=""),"",ROUND(G33/(C33/1000),2))</f>
        <v/>
      </c>
      <c r="I33" s="7" t="n"/>
      <c r="J33" s="7" t="n"/>
      <c r="K33" s="7" t="n"/>
      <c r="L33" s="7" t="n"/>
      <c r="M33" s="7" t="n"/>
    </row>
    <row r="34">
      <c r="A34" s="7" t="n"/>
      <c r="B34" s="12">
        <f>IFERROR(INDEX(Produkte!$B$2:$B$301,MATCH(A34,Produkte!$A$2:$A$301,0)),"")</f>
        <v/>
      </c>
      <c r="C34" s="7" t="n"/>
      <c r="D34" s="7" t="n"/>
      <c r="E34" s="16" t="n"/>
      <c r="F34" s="8" t="n"/>
      <c r="G34" s="15">
        <f>IF(E34="","",ROUND(E34*(1+F34),2))</f>
        <v/>
      </c>
      <c r="H34" s="15">
        <f>IF(OR(E34="",C34=""),"",ROUND(G34/(C34/1000),2))</f>
        <v/>
      </c>
      <c r="I34" s="7" t="n"/>
      <c r="J34" s="7" t="n"/>
      <c r="K34" s="7" t="n"/>
      <c r="L34" s="7" t="n"/>
      <c r="M34" s="7" t="n"/>
    </row>
    <row r="35">
      <c r="A35" s="7" t="n"/>
      <c r="B35" s="12">
        <f>IFERROR(INDEX(Produkte!$B$2:$B$301,MATCH(A35,Produkte!$A$2:$A$301,0)),"")</f>
        <v/>
      </c>
      <c r="C35" s="7" t="n"/>
      <c r="D35" s="7" t="n"/>
      <c r="E35" s="16" t="n"/>
      <c r="F35" s="8" t="n"/>
      <c r="G35" s="15">
        <f>IF(E35="","",ROUND(E35*(1+F35),2))</f>
        <v/>
      </c>
      <c r="H35" s="15">
        <f>IF(OR(E35="",C35=""),"",ROUND(G35/(C35/1000),2))</f>
        <v/>
      </c>
      <c r="I35" s="7" t="n"/>
      <c r="J35" s="7" t="n"/>
      <c r="K35" s="7" t="n"/>
      <c r="L35" s="7" t="n"/>
      <c r="M35" s="7" t="n"/>
    </row>
    <row r="36">
      <c r="A36" s="7" t="n"/>
      <c r="B36" s="12">
        <f>IFERROR(INDEX(Produkte!$B$2:$B$301,MATCH(A36,Produkte!$A$2:$A$301,0)),"")</f>
        <v/>
      </c>
      <c r="C36" s="7" t="n"/>
      <c r="D36" s="7" t="n"/>
      <c r="E36" s="16" t="n"/>
      <c r="F36" s="8" t="n"/>
      <c r="G36" s="15">
        <f>IF(E36="","",ROUND(E36*(1+F36),2))</f>
        <v/>
      </c>
      <c r="H36" s="15">
        <f>IF(OR(E36="",C36=""),"",ROUND(G36/(C36/1000),2))</f>
        <v/>
      </c>
      <c r="I36" s="7" t="n"/>
      <c r="J36" s="7" t="n"/>
      <c r="K36" s="7" t="n"/>
      <c r="L36" s="7" t="n"/>
      <c r="M36" s="7" t="n"/>
    </row>
    <row r="37">
      <c r="A37" s="7" t="n"/>
      <c r="B37" s="12">
        <f>IFERROR(INDEX(Produkte!$B$2:$B$301,MATCH(A37,Produkte!$A$2:$A$301,0)),"")</f>
        <v/>
      </c>
      <c r="C37" s="7" t="n"/>
      <c r="D37" s="7" t="n"/>
      <c r="E37" s="16" t="n"/>
      <c r="F37" s="8" t="n"/>
      <c r="G37" s="15">
        <f>IF(E37="","",ROUND(E37*(1+F37),2))</f>
        <v/>
      </c>
      <c r="H37" s="15">
        <f>IF(OR(E37="",C37=""),"",ROUND(G37/(C37/1000),2))</f>
        <v/>
      </c>
      <c r="I37" s="7" t="n"/>
      <c r="J37" s="7" t="n"/>
      <c r="K37" s="7" t="n"/>
      <c r="L37" s="7" t="n"/>
      <c r="M37" s="7" t="n"/>
    </row>
    <row r="38">
      <c r="A38" s="7" t="n"/>
      <c r="B38" s="12">
        <f>IFERROR(INDEX(Produkte!$B$2:$B$301,MATCH(A38,Produkte!$A$2:$A$301,0)),"")</f>
        <v/>
      </c>
      <c r="C38" s="7" t="n"/>
      <c r="D38" s="7" t="n"/>
      <c r="E38" s="16" t="n"/>
      <c r="F38" s="8" t="n"/>
      <c r="G38" s="15">
        <f>IF(E38="","",ROUND(E38*(1+F38),2))</f>
        <v/>
      </c>
      <c r="H38" s="15">
        <f>IF(OR(E38="",C38=""),"",ROUND(G38/(C38/1000),2))</f>
        <v/>
      </c>
      <c r="I38" s="7" t="n"/>
      <c r="J38" s="7" t="n"/>
      <c r="K38" s="7" t="n"/>
      <c r="L38" s="7" t="n"/>
      <c r="M38" s="7" t="n"/>
    </row>
    <row r="39">
      <c r="A39" s="7" t="n"/>
      <c r="B39" s="12">
        <f>IFERROR(INDEX(Produkte!$B$2:$B$301,MATCH(A39,Produkte!$A$2:$A$301,0)),"")</f>
        <v/>
      </c>
      <c r="C39" s="7" t="n"/>
      <c r="D39" s="7" t="n"/>
      <c r="E39" s="16" t="n"/>
      <c r="F39" s="8" t="n"/>
      <c r="G39" s="15">
        <f>IF(E39="","",ROUND(E39*(1+F39),2))</f>
        <v/>
      </c>
      <c r="H39" s="15">
        <f>IF(OR(E39="",C39=""),"",ROUND(G39/(C39/1000),2))</f>
        <v/>
      </c>
      <c r="I39" s="7" t="n"/>
      <c r="J39" s="7" t="n"/>
      <c r="K39" s="7" t="n"/>
      <c r="L39" s="7" t="n"/>
      <c r="M39" s="7" t="n"/>
    </row>
    <row r="40">
      <c r="A40" s="7" t="n"/>
      <c r="B40" s="12">
        <f>IFERROR(INDEX(Produkte!$B$2:$B$301,MATCH(A40,Produkte!$A$2:$A$301,0)),"")</f>
        <v/>
      </c>
      <c r="C40" s="7" t="n"/>
      <c r="D40" s="7" t="n"/>
      <c r="E40" s="16" t="n"/>
      <c r="F40" s="8" t="n"/>
      <c r="G40" s="15">
        <f>IF(E40="","",ROUND(E40*(1+F40),2))</f>
        <v/>
      </c>
      <c r="H40" s="15">
        <f>IF(OR(E40="",C40=""),"",ROUND(G40/(C40/1000),2))</f>
        <v/>
      </c>
      <c r="I40" s="7" t="n"/>
      <c r="J40" s="7" t="n"/>
      <c r="K40" s="7" t="n"/>
      <c r="L40" s="7" t="n"/>
      <c r="M40" s="7" t="n"/>
    </row>
    <row r="41">
      <c r="A41" s="7" t="n"/>
      <c r="B41" s="12">
        <f>IFERROR(INDEX(Produkte!$B$2:$B$301,MATCH(A41,Produkte!$A$2:$A$301,0)),"")</f>
        <v/>
      </c>
      <c r="C41" s="7" t="n"/>
      <c r="D41" s="7" t="n"/>
      <c r="E41" s="16" t="n"/>
      <c r="F41" s="8" t="n"/>
      <c r="G41" s="15">
        <f>IF(E41="","",ROUND(E41*(1+F41),2))</f>
        <v/>
      </c>
      <c r="H41" s="15">
        <f>IF(OR(E41="",C41=""),"",ROUND(G41/(C41/1000),2))</f>
        <v/>
      </c>
      <c r="I41" s="7" t="n"/>
      <c r="J41" s="7" t="n"/>
      <c r="K41" s="7" t="n"/>
      <c r="L41" s="7" t="n"/>
      <c r="M41" s="7" t="n"/>
    </row>
    <row r="42">
      <c r="A42" s="7" t="n"/>
      <c r="B42" s="12">
        <f>IFERROR(INDEX(Produkte!$B$2:$B$301,MATCH(A42,Produkte!$A$2:$A$301,0)),"")</f>
        <v/>
      </c>
      <c r="C42" s="7" t="n"/>
      <c r="D42" s="7" t="n"/>
      <c r="E42" s="16" t="n"/>
      <c r="F42" s="8" t="n"/>
      <c r="G42" s="15">
        <f>IF(E42="","",ROUND(E42*(1+F42),2))</f>
        <v/>
      </c>
      <c r="H42" s="15">
        <f>IF(OR(E42="",C42=""),"",ROUND(G42/(C42/1000),2))</f>
        <v/>
      </c>
      <c r="I42" s="7" t="n"/>
      <c r="J42" s="7" t="n"/>
      <c r="K42" s="7" t="n"/>
      <c r="L42" s="7" t="n"/>
      <c r="M42" s="7" t="n"/>
    </row>
    <row r="43">
      <c r="A43" s="7" t="n"/>
      <c r="B43" s="12">
        <f>IFERROR(INDEX(Produkte!$B$2:$B$301,MATCH(A43,Produkte!$A$2:$A$301,0)),"")</f>
        <v/>
      </c>
      <c r="C43" s="7" t="n"/>
      <c r="D43" s="7" t="n"/>
      <c r="E43" s="16" t="n"/>
      <c r="F43" s="8" t="n"/>
      <c r="G43" s="15">
        <f>IF(E43="","",ROUND(E43*(1+F43),2))</f>
        <v/>
      </c>
      <c r="H43" s="15">
        <f>IF(OR(E43="",C43=""),"",ROUND(G43/(C43/1000),2))</f>
        <v/>
      </c>
      <c r="I43" s="7" t="n"/>
      <c r="J43" s="7" t="n"/>
      <c r="K43" s="7" t="n"/>
      <c r="L43" s="7" t="n"/>
      <c r="M43" s="7" t="n"/>
    </row>
    <row r="44">
      <c r="A44" s="7" t="n"/>
      <c r="B44" s="12">
        <f>IFERROR(INDEX(Produkte!$B$2:$B$301,MATCH(A44,Produkte!$A$2:$A$301,0)),"")</f>
        <v/>
      </c>
      <c r="C44" s="7" t="n"/>
      <c r="D44" s="7" t="n"/>
      <c r="E44" s="16" t="n"/>
      <c r="F44" s="8" t="n"/>
      <c r="G44" s="15">
        <f>IF(E44="","",ROUND(E44*(1+F44),2))</f>
        <v/>
      </c>
      <c r="H44" s="15">
        <f>IF(OR(E44="",C44=""),"",ROUND(G44/(C44/1000),2))</f>
        <v/>
      </c>
      <c r="I44" s="7" t="n"/>
      <c r="J44" s="7" t="n"/>
      <c r="K44" s="7" t="n"/>
      <c r="L44" s="7" t="n"/>
      <c r="M44" s="7" t="n"/>
    </row>
    <row r="45">
      <c r="A45" s="7" t="n"/>
      <c r="B45" s="12">
        <f>IFERROR(INDEX(Produkte!$B$2:$B$301,MATCH(A45,Produkte!$A$2:$A$301,0)),"")</f>
        <v/>
      </c>
      <c r="C45" s="7" t="n"/>
      <c r="D45" s="7" t="n"/>
      <c r="E45" s="16" t="n"/>
      <c r="F45" s="8" t="n"/>
      <c r="G45" s="15">
        <f>IF(E45="","",ROUND(E45*(1+F45),2))</f>
        <v/>
      </c>
      <c r="H45" s="15">
        <f>IF(OR(E45="",C45=""),"",ROUND(G45/(C45/1000),2))</f>
        <v/>
      </c>
      <c r="I45" s="7" t="n"/>
      <c r="J45" s="7" t="n"/>
      <c r="K45" s="7" t="n"/>
      <c r="L45" s="7" t="n"/>
      <c r="M45" s="7" t="n"/>
    </row>
    <row r="46">
      <c r="A46" s="7" t="n"/>
      <c r="B46" s="12">
        <f>IFERROR(INDEX(Produkte!$B$2:$B$301,MATCH(A46,Produkte!$A$2:$A$301,0)),"")</f>
        <v/>
      </c>
      <c r="C46" s="7" t="n"/>
      <c r="D46" s="7" t="n"/>
      <c r="E46" s="16" t="n"/>
      <c r="F46" s="8" t="n"/>
      <c r="G46" s="15">
        <f>IF(E46="","",ROUND(E46*(1+F46),2))</f>
        <v/>
      </c>
      <c r="H46" s="15">
        <f>IF(OR(E46="",C46=""),"",ROUND(G46/(C46/1000),2))</f>
        <v/>
      </c>
      <c r="I46" s="7" t="n"/>
      <c r="J46" s="7" t="n"/>
      <c r="K46" s="7" t="n"/>
      <c r="L46" s="7" t="n"/>
      <c r="M46" s="7" t="n"/>
    </row>
    <row r="47">
      <c r="A47" s="7" t="n"/>
      <c r="B47" s="12">
        <f>IFERROR(INDEX(Produkte!$B$2:$B$301,MATCH(A47,Produkte!$A$2:$A$301,0)),"")</f>
        <v/>
      </c>
      <c r="C47" s="7" t="n"/>
      <c r="D47" s="7" t="n"/>
      <c r="E47" s="16" t="n"/>
      <c r="F47" s="8" t="n"/>
      <c r="G47" s="15">
        <f>IF(E47="","",ROUND(E47*(1+F47),2))</f>
        <v/>
      </c>
      <c r="H47" s="15">
        <f>IF(OR(E47="",C47=""),"",ROUND(G47/(C47/1000),2))</f>
        <v/>
      </c>
      <c r="I47" s="7" t="n"/>
      <c r="J47" s="7" t="n"/>
      <c r="K47" s="7" t="n"/>
      <c r="L47" s="7" t="n"/>
      <c r="M47" s="7" t="n"/>
    </row>
    <row r="48">
      <c r="A48" s="7" t="n"/>
      <c r="B48" s="12">
        <f>IFERROR(INDEX(Produkte!$B$2:$B$301,MATCH(A48,Produkte!$A$2:$A$301,0)),"")</f>
        <v/>
      </c>
      <c r="C48" s="7" t="n"/>
      <c r="D48" s="7" t="n"/>
      <c r="E48" s="16" t="n"/>
      <c r="F48" s="8" t="n"/>
      <c r="G48" s="15">
        <f>IF(E48="","",ROUND(E48*(1+F48),2))</f>
        <v/>
      </c>
      <c r="H48" s="15">
        <f>IF(OR(E48="",C48=""),"",ROUND(G48/(C48/1000),2))</f>
        <v/>
      </c>
      <c r="I48" s="7" t="n"/>
      <c r="J48" s="7" t="n"/>
      <c r="K48" s="7" t="n"/>
      <c r="L48" s="7" t="n"/>
      <c r="M48" s="7" t="n"/>
    </row>
    <row r="49">
      <c r="A49" s="7" t="n"/>
      <c r="B49" s="12">
        <f>IFERROR(INDEX(Produkte!$B$2:$B$301,MATCH(A49,Produkte!$A$2:$A$301,0)),"")</f>
        <v/>
      </c>
      <c r="C49" s="7" t="n"/>
      <c r="D49" s="7" t="n"/>
      <c r="E49" s="16" t="n"/>
      <c r="F49" s="8" t="n"/>
      <c r="G49" s="15">
        <f>IF(E49="","",ROUND(E49*(1+F49),2))</f>
        <v/>
      </c>
      <c r="H49" s="15">
        <f>IF(OR(E49="",C49=""),"",ROUND(G49/(C49/1000),2))</f>
        <v/>
      </c>
      <c r="I49" s="7" t="n"/>
      <c r="J49" s="7" t="n"/>
      <c r="K49" s="7" t="n"/>
      <c r="L49" s="7" t="n"/>
      <c r="M49" s="7" t="n"/>
    </row>
    <row r="50">
      <c r="A50" s="7" t="n"/>
      <c r="B50" s="12">
        <f>IFERROR(INDEX(Produkte!$B$2:$B$301,MATCH(A50,Produkte!$A$2:$A$301,0)),"")</f>
        <v/>
      </c>
      <c r="C50" s="7" t="n"/>
      <c r="D50" s="7" t="n"/>
      <c r="E50" s="16" t="n"/>
      <c r="F50" s="8" t="n"/>
      <c r="G50" s="15">
        <f>IF(E50="","",ROUND(E50*(1+F50),2))</f>
        <v/>
      </c>
      <c r="H50" s="15">
        <f>IF(OR(E50="",C50=""),"",ROUND(G50/(C50/1000),2))</f>
        <v/>
      </c>
      <c r="I50" s="7" t="n"/>
      <c r="J50" s="7" t="n"/>
      <c r="K50" s="7" t="n"/>
      <c r="L50" s="7" t="n"/>
      <c r="M50" s="7" t="n"/>
    </row>
    <row r="51">
      <c r="A51" s="7" t="n"/>
      <c r="B51" s="12">
        <f>IFERROR(INDEX(Produkte!$B$2:$B$301,MATCH(A51,Produkte!$A$2:$A$301,0)),"")</f>
        <v/>
      </c>
      <c r="C51" s="7" t="n"/>
      <c r="D51" s="7" t="n"/>
      <c r="E51" s="16" t="n"/>
      <c r="F51" s="8" t="n"/>
      <c r="G51" s="15">
        <f>IF(E51="","",ROUND(E51*(1+F51),2))</f>
        <v/>
      </c>
      <c r="H51" s="15">
        <f>IF(OR(E51="",C51=""),"",ROUND(G51/(C51/1000),2))</f>
        <v/>
      </c>
      <c r="I51" s="7" t="n"/>
      <c r="J51" s="7" t="n"/>
      <c r="K51" s="7" t="n"/>
      <c r="L51" s="7" t="n"/>
      <c r="M51" s="7" t="n"/>
    </row>
    <row r="52">
      <c r="A52" s="7" t="n"/>
      <c r="B52" s="12">
        <f>IFERROR(INDEX(Produkte!$B$2:$B$301,MATCH(A52,Produkte!$A$2:$A$301,0)),"")</f>
        <v/>
      </c>
      <c r="C52" s="7" t="n"/>
      <c r="D52" s="7" t="n"/>
      <c r="E52" s="16" t="n"/>
      <c r="F52" s="8" t="n"/>
      <c r="G52" s="15">
        <f>IF(E52="","",ROUND(E52*(1+F52),2))</f>
        <v/>
      </c>
      <c r="H52" s="15">
        <f>IF(OR(E52="",C52=""),"",ROUND(G52/(C52/1000),2))</f>
        <v/>
      </c>
      <c r="I52" s="7" t="n"/>
      <c r="J52" s="7" t="n"/>
      <c r="K52" s="7" t="n"/>
      <c r="L52" s="7" t="n"/>
      <c r="M52" s="7" t="n"/>
    </row>
    <row r="53">
      <c r="A53" s="7" t="n"/>
      <c r="B53" s="12">
        <f>IFERROR(INDEX(Produkte!$B$2:$B$301,MATCH(A53,Produkte!$A$2:$A$301,0)),"")</f>
        <v/>
      </c>
      <c r="C53" s="7" t="n"/>
      <c r="D53" s="7" t="n"/>
      <c r="E53" s="16" t="n"/>
      <c r="F53" s="8" t="n"/>
      <c r="G53" s="15">
        <f>IF(E53="","",ROUND(E53*(1+F53),2))</f>
        <v/>
      </c>
      <c r="H53" s="15">
        <f>IF(OR(E53="",C53=""),"",ROUND(G53/(C53/1000),2))</f>
        <v/>
      </c>
      <c r="I53" s="7" t="n"/>
      <c r="J53" s="7" t="n"/>
      <c r="K53" s="7" t="n"/>
      <c r="L53" s="7" t="n"/>
      <c r="M53" s="7" t="n"/>
    </row>
    <row r="54">
      <c r="A54" s="7" t="n"/>
      <c r="B54" s="12">
        <f>IFERROR(INDEX(Produkte!$B$2:$B$301,MATCH(A54,Produkte!$A$2:$A$301,0)),"")</f>
        <v/>
      </c>
      <c r="C54" s="7" t="n"/>
      <c r="D54" s="7" t="n"/>
      <c r="E54" s="16" t="n"/>
      <c r="F54" s="8" t="n"/>
      <c r="G54" s="15">
        <f>IF(E54="","",ROUND(E54*(1+F54),2))</f>
        <v/>
      </c>
      <c r="H54" s="15">
        <f>IF(OR(E54="",C54=""),"",ROUND(G54/(C54/1000),2))</f>
        <v/>
      </c>
      <c r="I54" s="7" t="n"/>
      <c r="J54" s="7" t="n"/>
      <c r="K54" s="7" t="n"/>
      <c r="L54" s="7" t="n"/>
      <c r="M54" s="7" t="n"/>
    </row>
    <row r="55">
      <c r="A55" s="7" t="n"/>
      <c r="B55" s="12">
        <f>IFERROR(INDEX(Produkte!$B$2:$B$301,MATCH(A55,Produkte!$A$2:$A$301,0)),"")</f>
        <v/>
      </c>
      <c r="C55" s="7" t="n"/>
      <c r="D55" s="7" t="n"/>
      <c r="E55" s="16" t="n"/>
      <c r="F55" s="8" t="n"/>
      <c r="G55" s="15">
        <f>IF(E55="","",ROUND(E55*(1+F55),2))</f>
        <v/>
      </c>
      <c r="H55" s="15">
        <f>IF(OR(E55="",C55=""),"",ROUND(G55/(C55/1000),2))</f>
        <v/>
      </c>
      <c r="I55" s="7" t="n"/>
      <c r="J55" s="7" t="n"/>
      <c r="K55" s="7" t="n"/>
      <c r="L55" s="7" t="n"/>
      <c r="M55" s="7" t="n"/>
    </row>
    <row r="56">
      <c r="A56" s="7" t="n"/>
      <c r="B56" s="12">
        <f>IFERROR(INDEX(Produkte!$B$2:$B$301,MATCH(A56,Produkte!$A$2:$A$301,0)),"")</f>
        <v/>
      </c>
      <c r="C56" s="7" t="n"/>
      <c r="D56" s="7" t="n"/>
      <c r="E56" s="16" t="n"/>
      <c r="F56" s="8" t="n"/>
      <c r="G56" s="15">
        <f>IF(E56="","",ROUND(E56*(1+F56),2))</f>
        <v/>
      </c>
      <c r="H56" s="15">
        <f>IF(OR(E56="",C56=""),"",ROUND(G56/(C56/1000),2))</f>
        <v/>
      </c>
      <c r="I56" s="7" t="n"/>
      <c r="J56" s="7" t="n"/>
      <c r="K56" s="7" t="n"/>
      <c r="L56" s="7" t="n"/>
      <c r="M56" s="7" t="n"/>
    </row>
    <row r="57">
      <c r="A57" s="7" t="n"/>
      <c r="B57" s="12">
        <f>IFERROR(INDEX(Produkte!$B$2:$B$301,MATCH(A57,Produkte!$A$2:$A$301,0)),"")</f>
        <v/>
      </c>
      <c r="C57" s="7" t="n"/>
      <c r="D57" s="7" t="n"/>
      <c r="E57" s="16" t="n"/>
      <c r="F57" s="8" t="n"/>
      <c r="G57" s="15">
        <f>IF(E57="","",ROUND(E57*(1+F57),2))</f>
        <v/>
      </c>
      <c r="H57" s="15">
        <f>IF(OR(E57="",C57=""),"",ROUND(G57/(C57/1000),2))</f>
        <v/>
      </c>
      <c r="I57" s="7" t="n"/>
      <c r="J57" s="7" t="n"/>
      <c r="K57" s="7" t="n"/>
      <c r="L57" s="7" t="n"/>
      <c r="M57" s="7" t="n"/>
    </row>
    <row r="58">
      <c r="A58" s="7" t="n"/>
      <c r="B58" s="12">
        <f>IFERROR(INDEX(Produkte!$B$2:$B$301,MATCH(A58,Produkte!$A$2:$A$301,0)),"")</f>
        <v/>
      </c>
      <c r="C58" s="7" t="n"/>
      <c r="D58" s="7" t="n"/>
      <c r="E58" s="16" t="n"/>
      <c r="F58" s="8" t="n"/>
      <c r="G58" s="15">
        <f>IF(E58="","",ROUND(E58*(1+F58),2))</f>
        <v/>
      </c>
      <c r="H58" s="15">
        <f>IF(OR(E58="",C58=""),"",ROUND(G58/(C58/1000),2))</f>
        <v/>
      </c>
      <c r="I58" s="7" t="n"/>
      <c r="J58" s="7" t="n"/>
      <c r="K58" s="7" t="n"/>
      <c r="L58" s="7" t="n"/>
      <c r="M58" s="7" t="n"/>
    </row>
    <row r="59">
      <c r="A59" s="7" t="n"/>
      <c r="B59" s="12">
        <f>IFERROR(INDEX(Produkte!$B$2:$B$301,MATCH(A59,Produkte!$A$2:$A$301,0)),"")</f>
        <v/>
      </c>
      <c r="C59" s="7" t="n"/>
      <c r="D59" s="7" t="n"/>
      <c r="E59" s="16" t="n"/>
      <c r="F59" s="8" t="n"/>
      <c r="G59" s="15">
        <f>IF(E59="","",ROUND(E59*(1+F59),2))</f>
        <v/>
      </c>
      <c r="H59" s="15">
        <f>IF(OR(E59="",C59=""),"",ROUND(G59/(C59/1000),2))</f>
        <v/>
      </c>
      <c r="I59" s="7" t="n"/>
      <c r="J59" s="7" t="n"/>
      <c r="K59" s="7" t="n"/>
      <c r="L59" s="7" t="n"/>
      <c r="M59" s="7" t="n"/>
    </row>
    <row r="60">
      <c r="A60" s="7" t="n"/>
      <c r="B60" s="12">
        <f>IFERROR(INDEX(Produkte!$B$2:$B$301,MATCH(A60,Produkte!$A$2:$A$301,0)),"")</f>
        <v/>
      </c>
      <c r="C60" s="7" t="n"/>
      <c r="D60" s="7" t="n"/>
      <c r="E60" s="16" t="n"/>
      <c r="F60" s="8" t="n"/>
      <c r="G60" s="15">
        <f>IF(E60="","",ROUND(E60*(1+F60),2))</f>
        <v/>
      </c>
      <c r="H60" s="15">
        <f>IF(OR(E60="",C60=""),"",ROUND(G60/(C60/1000),2))</f>
        <v/>
      </c>
      <c r="I60" s="7" t="n"/>
      <c r="J60" s="7" t="n"/>
      <c r="K60" s="7" t="n"/>
      <c r="L60" s="7" t="n"/>
      <c r="M60" s="7" t="n"/>
    </row>
    <row r="61">
      <c r="A61" s="7" t="n"/>
      <c r="B61" s="12">
        <f>IFERROR(INDEX(Produkte!$B$2:$B$301,MATCH(A61,Produkte!$A$2:$A$301,0)),"")</f>
        <v/>
      </c>
      <c r="C61" s="7" t="n"/>
      <c r="D61" s="7" t="n"/>
      <c r="E61" s="16" t="n"/>
      <c r="F61" s="8" t="n"/>
      <c r="G61" s="15">
        <f>IF(E61="","",ROUND(E61*(1+F61),2))</f>
        <v/>
      </c>
      <c r="H61" s="15">
        <f>IF(OR(E61="",C61=""),"",ROUND(G61/(C61/1000),2))</f>
        <v/>
      </c>
      <c r="I61" s="7" t="n"/>
      <c r="J61" s="7" t="n"/>
      <c r="K61" s="7" t="n"/>
      <c r="L61" s="7" t="n"/>
      <c r="M61" s="7" t="n"/>
    </row>
    <row r="62">
      <c r="A62" s="7" t="n"/>
      <c r="B62" s="12">
        <f>IFERROR(INDEX(Produkte!$B$2:$B$301,MATCH(A62,Produkte!$A$2:$A$301,0)),"")</f>
        <v/>
      </c>
      <c r="C62" s="7" t="n"/>
      <c r="D62" s="7" t="n"/>
      <c r="E62" s="16" t="n"/>
      <c r="F62" s="8" t="n"/>
      <c r="G62" s="15">
        <f>IF(E62="","",ROUND(E62*(1+F62),2))</f>
        <v/>
      </c>
      <c r="H62" s="15">
        <f>IF(OR(E62="",C62=""),"",ROUND(G62/(C62/1000),2))</f>
        <v/>
      </c>
      <c r="I62" s="7" t="n"/>
      <c r="J62" s="7" t="n"/>
      <c r="K62" s="7" t="n"/>
      <c r="L62" s="7" t="n"/>
      <c r="M62" s="7" t="n"/>
    </row>
    <row r="63">
      <c r="A63" s="7" t="n"/>
      <c r="B63" s="12">
        <f>IFERROR(INDEX(Produkte!$B$2:$B$301,MATCH(A63,Produkte!$A$2:$A$301,0)),"")</f>
        <v/>
      </c>
      <c r="C63" s="7" t="n"/>
      <c r="D63" s="7" t="n"/>
      <c r="E63" s="16" t="n"/>
      <c r="F63" s="8" t="n"/>
      <c r="G63" s="15">
        <f>IF(E63="","",ROUND(E63*(1+F63),2))</f>
        <v/>
      </c>
      <c r="H63" s="15">
        <f>IF(OR(E63="",C63=""),"",ROUND(G63/(C63/1000),2))</f>
        <v/>
      </c>
      <c r="I63" s="7" t="n"/>
      <c r="J63" s="7" t="n"/>
      <c r="K63" s="7" t="n"/>
      <c r="L63" s="7" t="n"/>
      <c r="M63" s="7" t="n"/>
    </row>
    <row r="64">
      <c r="A64" s="7" t="n"/>
      <c r="B64" s="12">
        <f>IFERROR(INDEX(Produkte!$B$2:$B$301,MATCH(A64,Produkte!$A$2:$A$301,0)),"")</f>
        <v/>
      </c>
      <c r="C64" s="7" t="n"/>
      <c r="D64" s="7" t="n"/>
      <c r="E64" s="16" t="n"/>
      <c r="F64" s="8" t="n"/>
      <c r="G64" s="15">
        <f>IF(E64="","",ROUND(E64*(1+F64),2))</f>
        <v/>
      </c>
      <c r="H64" s="15">
        <f>IF(OR(E64="",C64=""),"",ROUND(G64/(C64/1000),2))</f>
        <v/>
      </c>
      <c r="I64" s="7" t="n"/>
      <c r="J64" s="7" t="n"/>
      <c r="K64" s="7" t="n"/>
      <c r="L64" s="7" t="n"/>
      <c r="M64" s="7" t="n"/>
    </row>
    <row r="65">
      <c r="A65" s="7" t="n"/>
      <c r="B65" s="12">
        <f>IFERROR(INDEX(Produkte!$B$2:$B$301,MATCH(A65,Produkte!$A$2:$A$301,0)),"")</f>
        <v/>
      </c>
      <c r="C65" s="7" t="n"/>
      <c r="D65" s="7" t="n"/>
      <c r="E65" s="16" t="n"/>
      <c r="F65" s="8" t="n"/>
      <c r="G65" s="15">
        <f>IF(E65="","",ROUND(E65*(1+F65),2))</f>
        <v/>
      </c>
      <c r="H65" s="15">
        <f>IF(OR(E65="",C65=""),"",ROUND(G65/(C65/1000),2))</f>
        <v/>
      </c>
      <c r="I65" s="7" t="n"/>
      <c r="J65" s="7" t="n"/>
      <c r="K65" s="7" t="n"/>
      <c r="L65" s="7" t="n"/>
      <c r="M65" s="7" t="n"/>
    </row>
    <row r="66">
      <c r="A66" s="7" t="n"/>
      <c r="B66" s="12">
        <f>IFERROR(INDEX(Produkte!$B$2:$B$301,MATCH(A66,Produkte!$A$2:$A$301,0)),"")</f>
        <v/>
      </c>
      <c r="C66" s="7" t="n"/>
      <c r="D66" s="7" t="n"/>
      <c r="E66" s="16" t="n"/>
      <c r="F66" s="8" t="n"/>
      <c r="G66" s="15">
        <f>IF(E66="","",ROUND(E66*(1+F66),2))</f>
        <v/>
      </c>
      <c r="H66" s="15">
        <f>IF(OR(E66="",C66=""),"",ROUND(G66/(C66/1000),2))</f>
        <v/>
      </c>
      <c r="I66" s="7" t="n"/>
      <c r="J66" s="7" t="n"/>
      <c r="K66" s="7" t="n"/>
      <c r="L66" s="7" t="n"/>
      <c r="M66" s="7" t="n"/>
    </row>
    <row r="67">
      <c r="A67" s="7" t="n"/>
      <c r="B67" s="12">
        <f>IFERROR(INDEX(Produkte!$B$2:$B$301,MATCH(A67,Produkte!$A$2:$A$301,0)),"")</f>
        <v/>
      </c>
      <c r="C67" s="7" t="n"/>
      <c r="D67" s="7" t="n"/>
      <c r="E67" s="16" t="n"/>
      <c r="F67" s="8" t="n"/>
      <c r="G67" s="15">
        <f>IF(E67="","",ROUND(E67*(1+F67),2))</f>
        <v/>
      </c>
      <c r="H67" s="15">
        <f>IF(OR(E67="",C67=""),"",ROUND(G67/(C67/1000),2))</f>
        <v/>
      </c>
      <c r="I67" s="7" t="n"/>
      <c r="J67" s="7" t="n"/>
      <c r="K67" s="7" t="n"/>
      <c r="L67" s="7" t="n"/>
      <c r="M67" s="7" t="n"/>
    </row>
    <row r="68">
      <c r="A68" s="7" t="n"/>
      <c r="B68" s="12">
        <f>IFERROR(INDEX(Produkte!$B$2:$B$301,MATCH(A68,Produkte!$A$2:$A$301,0)),"")</f>
        <v/>
      </c>
      <c r="C68" s="7" t="n"/>
      <c r="D68" s="7" t="n"/>
      <c r="E68" s="16" t="n"/>
      <c r="F68" s="8" t="n"/>
      <c r="G68" s="15">
        <f>IF(E68="","",ROUND(E68*(1+F68),2))</f>
        <v/>
      </c>
      <c r="H68" s="15">
        <f>IF(OR(E68="",C68=""),"",ROUND(G68/(C68/1000),2))</f>
        <v/>
      </c>
      <c r="I68" s="7" t="n"/>
      <c r="J68" s="7" t="n"/>
      <c r="K68" s="7" t="n"/>
      <c r="L68" s="7" t="n"/>
      <c r="M68" s="7" t="n"/>
    </row>
    <row r="69">
      <c r="A69" s="7" t="n"/>
      <c r="B69" s="12">
        <f>IFERROR(INDEX(Produkte!$B$2:$B$301,MATCH(A69,Produkte!$A$2:$A$301,0)),"")</f>
        <v/>
      </c>
      <c r="C69" s="7" t="n"/>
      <c r="D69" s="7" t="n"/>
      <c r="E69" s="16" t="n"/>
      <c r="F69" s="8" t="n"/>
      <c r="G69" s="15">
        <f>IF(E69="","",ROUND(E69*(1+F69),2))</f>
        <v/>
      </c>
      <c r="H69" s="15">
        <f>IF(OR(E69="",C69=""),"",ROUND(G69/(C69/1000),2))</f>
        <v/>
      </c>
      <c r="I69" s="7" t="n"/>
      <c r="J69" s="7" t="n"/>
      <c r="K69" s="7" t="n"/>
      <c r="L69" s="7" t="n"/>
      <c r="M69" s="7" t="n"/>
    </row>
    <row r="70">
      <c r="A70" s="7" t="n"/>
      <c r="B70" s="12">
        <f>IFERROR(INDEX(Produkte!$B$2:$B$301,MATCH(A70,Produkte!$A$2:$A$301,0)),"")</f>
        <v/>
      </c>
      <c r="C70" s="7" t="n"/>
      <c r="D70" s="7" t="n"/>
      <c r="E70" s="16" t="n"/>
      <c r="F70" s="8" t="n"/>
      <c r="G70" s="15">
        <f>IF(E70="","",ROUND(E70*(1+F70),2))</f>
        <v/>
      </c>
      <c r="H70" s="15">
        <f>IF(OR(E70="",C70=""),"",ROUND(G70/(C70/1000),2))</f>
        <v/>
      </c>
      <c r="I70" s="7" t="n"/>
      <c r="J70" s="7" t="n"/>
      <c r="K70" s="7" t="n"/>
      <c r="L70" s="7" t="n"/>
      <c r="M70" s="7" t="n"/>
    </row>
    <row r="71">
      <c r="A71" s="7" t="n"/>
      <c r="B71" s="12">
        <f>IFERROR(INDEX(Produkte!$B$2:$B$301,MATCH(A71,Produkte!$A$2:$A$301,0)),"")</f>
        <v/>
      </c>
      <c r="C71" s="7" t="n"/>
      <c r="D71" s="7" t="n"/>
      <c r="E71" s="16" t="n"/>
      <c r="F71" s="8" t="n"/>
      <c r="G71" s="15">
        <f>IF(E71="","",ROUND(E71*(1+F71),2))</f>
        <v/>
      </c>
      <c r="H71" s="15">
        <f>IF(OR(E71="",C71=""),"",ROUND(G71/(C71/1000),2))</f>
        <v/>
      </c>
      <c r="I71" s="7" t="n"/>
      <c r="J71" s="7" t="n"/>
      <c r="K71" s="7" t="n"/>
      <c r="L71" s="7" t="n"/>
      <c r="M71" s="7" t="n"/>
    </row>
    <row r="72">
      <c r="A72" s="7" t="n"/>
      <c r="B72" s="12">
        <f>IFERROR(INDEX(Produkte!$B$2:$B$301,MATCH(A72,Produkte!$A$2:$A$301,0)),"")</f>
        <v/>
      </c>
      <c r="C72" s="7" t="n"/>
      <c r="D72" s="7" t="n"/>
      <c r="E72" s="16" t="n"/>
      <c r="F72" s="8" t="n"/>
      <c r="G72" s="15">
        <f>IF(E72="","",ROUND(E72*(1+F72),2))</f>
        <v/>
      </c>
      <c r="H72" s="15">
        <f>IF(OR(E72="",C72=""),"",ROUND(G72/(C72/1000),2))</f>
        <v/>
      </c>
      <c r="I72" s="7" t="n"/>
      <c r="J72" s="7" t="n"/>
      <c r="K72" s="7" t="n"/>
      <c r="L72" s="7" t="n"/>
      <c r="M72" s="7" t="n"/>
    </row>
    <row r="73">
      <c r="A73" s="7" t="n"/>
      <c r="B73" s="12">
        <f>IFERROR(INDEX(Produkte!$B$2:$B$301,MATCH(A73,Produkte!$A$2:$A$301,0)),"")</f>
        <v/>
      </c>
      <c r="C73" s="7" t="n"/>
      <c r="D73" s="7" t="n"/>
      <c r="E73" s="16" t="n"/>
      <c r="F73" s="8" t="n"/>
      <c r="G73" s="15">
        <f>IF(E73="","",ROUND(E73*(1+F73),2))</f>
        <v/>
      </c>
      <c r="H73" s="15">
        <f>IF(OR(E73="",C73=""),"",ROUND(G73/(C73/1000),2))</f>
        <v/>
      </c>
      <c r="I73" s="7" t="n"/>
      <c r="J73" s="7" t="n"/>
      <c r="K73" s="7" t="n"/>
      <c r="L73" s="7" t="n"/>
      <c r="M73" s="7" t="n"/>
    </row>
    <row r="74">
      <c r="A74" s="7" t="n"/>
      <c r="B74" s="12">
        <f>IFERROR(INDEX(Produkte!$B$2:$B$301,MATCH(A74,Produkte!$A$2:$A$301,0)),"")</f>
        <v/>
      </c>
      <c r="C74" s="7" t="n"/>
      <c r="D74" s="7" t="n"/>
      <c r="E74" s="16" t="n"/>
      <c r="F74" s="8" t="n"/>
      <c r="G74" s="15">
        <f>IF(E74="","",ROUND(E74*(1+F74),2))</f>
        <v/>
      </c>
      <c r="H74" s="15">
        <f>IF(OR(E74="",C74=""),"",ROUND(G74/(C74/1000),2))</f>
        <v/>
      </c>
      <c r="I74" s="7" t="n"/>
      <c r="J74" s="7" t="n"/>
      <c r="K74" s="7" t="n"/>
      <c r="L74" s="7" t="n"/>
      <c r="M74" s="7" t="n"/>
    </row>
    <row r="75">
      <c r="A75" s="7" t="n"/>
      <c r="B75" s="12">
        <f>IFERROR(INDEX(Produkte!$B$2:$B$301,MATCH(A75,Produkte!$A$2:$A$301,0)),"")</f>
        <v/>
      </c>
      <c r="C75" s="7" t="n"/>
      <c r="D75" s="7" t="n"/>
      <c r="E75" s="16" t="n"/>
      <c r="F75" s="8" t="n"/>
      <c r="G75" s="15">
        <f>IF(E75="","",ROUND(E75*(1+F75),2))</f>
        <v/>
      </c>
      <c r="H75" s="15">
        <f>IF(OR(E75="",C75=""),"",ROUND(G75/(C75/1000),2))</f>
        <v/>
      </c>
      <c r="I75" s="7" t="n"/>
      <c r="J75" s="7" t="n"/>
      <c r="K75" s="7" t="n"/>
      <c r="L75" s="7" t="n"/>
      <c r="M75" s="7" t="n"/>
    </row>
    <row r="76">
      <c r="A76" s="7" t="n"/>
      <c r="B76" s="12">
        <f>IFERROR(INDEX(Produkte!$B$2:$B$301,MATCH(A76,Produkte!$A$2:$A$301,0)),"")</f>
        <v/>
      </c>
      <c r="C76" s="7" t="n"/>
      <c r="D76" s="7" t="n"/>
      <c r="E76" s="16" t="n"/>
      <c r="F76" s="8" t="n"/>
      <c r="G76" s="15">
        <f>IF(E76="","",ROUND(E76*(1+F76),2))</f>
        <v/>
      </c>
      <c r="H76" s="15">
        <f>IF(OR(E76="",C76=""),"",ROUND(G76/(C76/1000),2))</f>
        <v/>
      </c>
      <c r="I76" s="7" t="n"/>
      <c r="J76" s="7" t="n"/>
      <c r="K76" s="7" t="n"/>
      <c r="L76" s="7" t="n"/>
      <c r="M76" s="7" t="n"/>
    </row>
    <row r="77">
      <c r="A77" s="7" t="n"/>
      <c r="B77" s="12">
        <f>IFERROR(INDEX(Produkte!$B$2:$B$301,MATCH(A77,Produkte!$A$2:$A$301,0)),"")</f>
        <v/>
      </c>
      <c r="C77" s="7" t="n"/>
      <c r="D77" s="7" t="n"/>
      <c r="E77" s="16" t="n"/>
      <c r="F77" s="8" t="n"/>
      <c r="G77" s="15">
        <f>IF(E77="","",ROUND(E77*(1+F77),2))</f>
        <v/>
      </c>
      <c r="H77" s="15">
        <f>IF(OR(E77="",C77=""),"",ROUND(G77/(C77/1000),2))</f>
        <v/>
      </c>
      <c r="I77" s="7" t="n"/>
      <c r="J77" s="7" t="n"/>
      <c r="K77" s="7" t="n"/>
      <c r="L77" s="7" t="n"/>
      <c r="M77" s="7" t="n"/>
    </row>
    <row r="78">
      <c r="A78" s="7" t="n"/>
      <c r="B78" s="12">
        <f>IFERROR(INDEX(Produkte!$B$2:$B$301,MATCH(A78,Produkte!$A$2:$A$301,0)),"")</f>
        <v/>
      </c>
      <c r="C78" s="7" t="n"/>
      <c r="D78" s="7" t="n"/>
      <c r="E78" s="16" t="n"/>
      <c r="F78" s="8" t="n"/>
      <c r="G78" s="15">
        <f>IF(E78="","",ROUND(E78*(1+F78),2))</f>
        <v/>
      </c>
      <c r="H78" s="15">
        <f>IF(OR(E78="",C78=""),"",ROUND(G78/(C78/1000),2))</f>
        <v/>
      </c>
      <c r="I78" s="7" t="n"/>
      <c r="J78" s="7" t="n"/>
      <c r="K78" s="7" t="n"/>
      <c r="L78" s="7" t="n"/>
      <c r="M78" s="7" t="n"/>
    </row>
    <row r="79">
      <c r="A79" s="7" t="n"/>
      <c r="B79" s="12">
        <f>IFERROR(INDEX(Produkte!$B$2:$B$301,MATCH(A79,Produkte!$A$2:$A$301,0)),"")</f>
        <v/>
      </c>
      <c r="C79" s="7" t="n"/>
      <c r="D79" s="7" t="n"/>
      <c r="E79" s="16" t="n"/>
      <c r="F79" s="8" t="n"/>
      <c r="G79" s="15">
        <f>IF(E79="","",ROUND(E79*(1+F79),2))</f>
        <v/>
      </c>
      <c r="H79" s="15">
        <f>IF(OR(E79="",C79=""),"",ROUND(G79/(C79/1000),2))</f>
        <v/>
      </c>
      <c r="I79" s="7" t="n"/>
      <c r="J79" s="7" t="n"/>
      <c r="K79" s="7" t="n"/>
      <c r="L79" s="7" t="n"/>
      <c r="M79" s="7" t="n"/>
    </row>
    <row r="80">
      <c r="A80" s="7" t="n"/>
      <c r="B80" s="12">
        <f>IFERROR(INDEX(Produkte!$B$2:$B$301,MATCH(A80,Produkte!$A$2:$A$301,0)),"")</f>
        <v/>
      </c>
      <c r="C80" s="7" t="n"/>
      <c r="D80" s="7" t="n"/>
      <c r="E80" s="16" t="n"/>
      <c r="F80" s="8" t="n"/>
      <c r="G80" s="15">
        <f>IF(E80="","",ROUND(E80*(1+F80),2))</f>
        <v/>
      </c>
      <c r="H80" s="15">
        <f>IF(OR(E80="",C80=""),"",ROUND(G80/(C80/1000),2))</f>
        <v/>
      </c>
      <c r="I80" s="7" t="n"/>
      <c r="J80" s="7" t="n"/>
      <c r="K80" s="7" t="n"/>
      <c r="L80" s="7" t="n"/>
      <c r="M80" s="7" t="n"/>
    </row>
    <row r="81">
      <c r="A81" s="7" t="n"/>
      <c r="B81" s="12">
        <f>IFERROR(INDEX(Produkte!$B$2:$B$301,MATCH(A81,Produkte!$A$2:$A$301,0)),"")</f>
        <v/>
      </c>
      <c r="C81" s="7" t="n"/>
      <c r="D81" s="7" t="n"/>
      <c r="E81" s="16" t="n"/>
      <c r="F81" s="8" t="n"/>
      <c r="G81" s="15">
        <f>IF(E81="","",ROUND(E81*(1+F81),2))</f>
        <v/>
      </c>
      <c r="H81" s="15">
        <f>IF(OR(E81="",C81=""),"",ROUND(G81/(C81/1000),2))</f>
        <v/>
      </c>
      <c r="I81" s="7" t="n"/>
      <c r="J81" s="7" t="n"/>
      <c r="K81" s="7" t="n"/>
      <c r="L81" s="7" t="n"/>
      <c r="M81" s="7" t="n"/>
    </row>
    <row r="82">
      <c r="A82" s="7" t="n"/>
      <c r="B82" s="12">
        <f>IFERROR(INDEX(Produkte!$B$2:$B$301,MATCH(A82,Produkte!$A$2:$A$301,0)),"")</f>
        <v/>
      </c>
      <c r="C82" s="7" t="n"/>
      <c r="D82" s="7" t="n"/>
      <c r="E82" s="16" t="n"/>
      <c r="F82" s="8" t="n"/>
      <c r="G82" s="15">
        <f>IF(E82="","",ROUND(E82*(1+F82),2))</f>
        <v/>
      </c>
      <c r="H82" s="15">
        <f>IF(OR(E82="",C82=""),"",ROUND(G82/(C82/1000),2))</f>
        <v/>
      </c>
      <c r="I82" s="7" t="n"/>
      <c r="J82" s="7" t="n"/>
      <c r="K82" s="7" t="n"/>
      <c r="L82" s="7" t="n"/>
      <c r="M82" s="7" t="n"/>
    </row>
    <row r="83">
      <c r="A83" s="7" t="n"/>
      <c r="B83" s="12">
        <f>IFERROR(INDEX(Produkte!$B$2:$B$301,MATCH(A83,Produkte!$A$2:$A$301,0)),"")</f>
        <v/>
      </c>
      <c r="C83" s="7" t="n"/>
      <c r="D83" s="7" t="n"/>
      <c r="E83" s="16" t="n"/>
      <c r="F83" s="8" t="n"/>
      <c r="G83" s="15">
        <f>IF(E83="","",ROUND(E83*(1+F83),2))</f>
        <v/>
      </c>
      <c r="H83" s="15">
        <f>IF(OR(E83="",C83=""),"",ROUND(G83/(C83/1000),2))</f>
        <v/>
      </c>
      <c r="I83" s="7" t="n"/>
      <c r="J83" s="7" t="n"/>
      <c r="K83" s="7" t="n"/>
      <c r="L83" s="7" t="n"/>
      <c r="M83" s="7" t="n"/>
    </row>
    <row r="84">
      <c r="A84" s="7" t="n"/>
      <c r="B84" s="12">
        <f>IFERROR(INDEX(Produkte!$B$2:$B$301,MATCH(A84,Produkte!$A$2:$A$301,0)),"")</f>
        <v/>
      </c>
      <c r="C84" s="7" t="n"/>
      <c r="D84" s="7" t="n"/>
      <c r="E84" s="16" t="n"/>
      <c r="F84" s="8" t="n"/>
      <c r="G84" s="15">
        <f>IF(E84="","",ROUND(E84*(1+F84),2))</f>
        <v/>
      </c>
      <c r="H84" s="15">
        <f>IF(OR(E84="",C84=""),"",ROUND(G84/(C84/1000),2))</f>
        <v/>
      </c>
      <c r="I84" s="7" t="n"/>
      <c r="J84" s="7" t="n"/>
      <c r="K84" s="7" t="n"/>
      <c r="L84" s="7" t="n"/>
      <c r="M84" s="7" t="n"/>
    </row>
    <row r="85">
      <c r="A85" s="7" t="n"/>
      <c r="B85" s="12">
        <f>IFERROR(INDEX(Produkte!$B$2:$B$301,MATCH(A85,Produkte!$A$2:$A$301,0)),"")</f>
        <v/>
      </c>
      <c r="C85" s="7" t="n"/>
      <c r="D85" s="7" t="n"/>
      <c r="E85" s="16" t="n"/>
      <c r="F85" s="8" t="n"/>
      <c r="G85" s="15">
        <f>IF(E85="","",ROUND(E85*(1+F85),2))</f>
        <v/>
      </c>
      <c r="H85" s="15">
        <f>IF(OR(E85="",C85=""),"",ROUND(G85/(C85/1000),2))</f>
        <v/>
      </c>
      <c r="I85" s="7" t="n"/>
      <c r="J85" s="7" t="n"/>
      <c r="K85" s="7" t="n"/>
      <c r="L85" s="7" t="n"/>
      <c r="M85" s="7" t="n"/>
    </row>
    <row r="86">
      <c r="A86" s="7" t="n"/>
      <c r="B86" s="12">
        <f>IFERROR(INDEX(Produkte!$B$2:$B$301,MATCH(A86,Produkte!$A$2:$A$301,0)),"")</f>
        <v/>
      </c>
      <c r="C86" s="7" t="n"/>
      <c r="D86" s="7" t="n"/>
      <c r="E86" s="16" t="n"/>
      <c r="F86" s="8" t="n"/>
      <c r="G86" s="15">
        <f>IF(E86="","",ROUND(E86*(1+F86),2))</f>
        <v/>
      </c>
      <c r="H86" s="15">
        <f>IF(OR(E86="",C86=""),"",ROUND(G86/(C86/1000),2))</f>
        <v/>
      </c>
      <c r="I86" s="7" t="n"/>
      <c r="J86" s="7" t="n"/>
      <c r="K86" s="7" t="n"/>
      <c r="L86" s="7" t="n"/>
      <c r="M86" s="7" t="n"/>
    </row>
    <row r="87">
      <c r="A87" s="7" t="n"/>
      <c r="B87" s="12">
        <f>IFERROR(INDEX(Produkte!$B$2:$B$301,MATCH(A87,Produkte!$A$2:$A$301,0)),"")</f>
        <v/>
      </c>
      <c r="C87" s="7" t="n"/>
      <c r="D87" s="7" t="n"/>
      <c r="E87" s="16" t="n"/>
      <c r="F87" s="8" t="n"/>
      <c r="G87" s="15">
        <f>IF(E87="","",ROUND(E87*(1+F87),2))</f>
        <v/>
      </c>
      <c r="H87" s="15">
        <f>IF(OR(E87="",C87=""),"",ROUND(G87/(C87/1000),2))</f>
        <v/>
      </c>
      <c r="I87" s="7" t="n"/>
      <c r="J87" s="7" t="n"/>
      <c r="K87" s="7" t="n"/>
      <c r="L87" s="7" t="n"/>
      <c r="M87" s="7" t="n"/>
    </row>
    <row r="88">
      <c r="A88" s="7" t="n"/>
      <c r="B88" s="12">
        <f>IFERROR(INDEX(Produkte!$B$2:$B$301,MATCH(A88,Produkte!$A$2:$A$301,0)),"")</f>
        <v/>
      </c>
      <c r="C88" s="7" t="n"/>
      <c r="D88" s="7" t="n"/>
      <c r="E88" s="16" t="n"/>
      <c r="F88" s="8" t="n"/>
      <c r="G88" s="15">
        <f>IF(E88="","",ROUND(E88*(1+F88),2))</f>
        <v/>
      </c>
      <c r="H88" s="15">
        <f>IF(OR(E88="",C88=""),"",ROUND(G88/(C88/1000),2))</f>
        <v/>
      </c>
      <c r="I88" s="7" t="n"/>
      <c r="J88" s="7" t="n"/>
      <c r="K88" s="7" t="n"/>
      <c r="L88" s="7" t="n"/>
      <c r="M88" s="7" t="n"/>
    </row>
    <row r="89">
      <c r="A89" s="7" t="n"/>
      <c r="B89" s="12">
        <f>IFERROR(INDEX(Produkte!$B$2:$B$301,MATCH(A89,Produkte!$A$2:$A$301,0)),"")</f>
        <v/>
      </c>
      <c r="C89" s="7" t="n"/>
      <c r="D89" s="7" t="n"/>
      <c r="E89" s="16" t="n"/>
      <c r="F89" s="8" t="n"/>
      <c r="G89" s="15">
        <f>IF(E89="","",ROUND(E89*(1+F89),2))</f>
        <v/>
      </c>
      <c r="H89" s="15">
        <f>IF(OR(E89="",C89=""),"",ROUND(G89/(C89/1000),2))</f>
        <v/>
      </c>
      <c r="I89" s="7" t="n"/>
      <c r="J89" s="7" t="n"/>
      <c r="K89" s="7" t="n"/>
      <c r="L89" s="7" t="n"/>
      <c r="M89" s="7" t="n"/>
    </row>
    <row r="90">
      <c r="A90" s="7" t="n"/>
      <c r="B90" s="12">
        <f>IFERROR(INDEX(Produkte!$B$2:$B$301,MATCH(A90,Produkte!$A$2:$A$301,0)),"")</f>
        <v/>
      </c>
      <c r="C90" s="7" t="n"/>
      <c r="D90" s="7" t="n"/>
      <c r="E90" s="16" t="n"/>
      <c r="F90" s="8" t="n"/>
      <c r="G90" s="15">
        <f>IF(E90="","",ROUND(E90*(1+F90),2))</f>
        <v/>
      </c>
      <c r="H90" s="15">
        <f>IF(OR(E90="",C90=""),"",ROUND(G90/(C90/1000),2))</f>
        <v/>
      </c>
      <c r="I90" s="7" t="n"/>
      <c r="J90" s="7" t="n"/>
      <c r="K90" s="7" t="n"/>
      <c r="L90" s="7" t="n"/>
      <c r="M90" s="7" t="n"/>
    </row>
    <row r="91">
      <c r="A91" s="7" t="n"/>
      <c r="B91" s="12">
        <f>IFERROR(INDEX(Produkte!$B$2:$B$301,MATCH(A91,Produkte!$A$2:$A$301,0)),"")</f>
        <v/>
      </c>
      <c r="C91" s="7" t="n"/>
      <c r="D91" s="7" t="n"/>
      <c r="E91" s="16" t="n"/>
      <c r="F91" s="8" t="n"/>
      <c r="G91" s="15">
        <f>IF(E91="","",ROUND(E91*(1+F91),2))</f>
        <v/>
      </c>
      <c r="H91" s="15">
        <f>IF(OR(E91="",C91=""),"",ROUND(G91/(C91/1000),2))</f>
        <v/>
      </c>
      <c r="I91" s="7" t="n"/>
      <c r="J91" s="7" t="n"/>
      <c r="K91" s="7" t="n"/>
      <c r="L91" s="7" t="n"/>
      <c r="M91" s="7" t="n"/>
    </row>
    <row r="92">
      <c r="A92" s="7" t="n"/>
      <c r="B92" s="12">
        <f>IFERROR(INDEX(Produkte!$B$2:$B$301,MATCH(A92,Produkte!$A$2:$A$301,0)),"")</f>
        <v/>
      </c>
      <c r="C92" s="7" t="n"/>
      <c r="D92" s="7" t="n"/>
      <c r="E92" s="16" t="n"/>
      <c r="F92" s="8" t="n"/>
      <c r="G92" s="15">
        <f>IF(E92="","",ROUND(E92*(1+F92),2))</f>
        <v/>
      </c>
      <c r="H92" s="15">
        <f>IF(OR(E92="",C92=""),"",ROUND(G92/(C92/1000),2))</f>
        <v/>
      </c>
      <c r="I92" s="7" t="n"/>
      <c r="J92" s="7" t="n"/>
      <c r="K92" s="7" t="n"/>
      <c r="L92" s="7" t="n"/>
      <c r="M92" s="7" t="n"/>
    </row>
    <row r="93">
      <c r="A93" s="7" t="n"/>
      <c r="B93" s="12">
        <f>IFERROR(INDEX(Produkte!$B$2:$B$301,MATCH(A93,Produkte!$A$2:$A$301,0)),"")</f>
        <v/>
      </c>
      <c r="C93" s="7" t="n"/>
      <c r="D93" s="7" t="n"/>
      <c r="E93" s="16" t="n"/>
      <c r="F93" s="8" t="n"/>
      <c r="G93" s="15">
        <f>IF(E93="","",ROUND(E93*(1+F93),2))</f>
        <v/>
      </c>
      <c r="H93" s="15">
        <f>IF(OR(E93="",C93=""),"",ROUND(G93/(C93/1000),2))</f>
        <v/>
      </c>
      <c r="I93" s="7" t="n"/>
      <c r="J93" s="7" t="n"/>
      <c r="K93" s="7" t="n"/>
      <c r="L93" s="7" t="n"/>
      <c r="M93" s="7" t="n"/>
    </row>
    <row r="94">
      <c r="A94" s="7" t="n"/>
      <c r="B94" s="12">
        <f>IFERROR(INDEX(Produkte!$B$2:$B$301,MATCH(A94,Produkte!$A$2:$A$301,0)),"")</f>
        <v/>
      </c>
      <c r="C94" s="7" t="n"/>
      <c r="D94" s="7" t="n"/>
      <c r="E94" s="16" t="n"/>
      <c r="F94" s="8" t="n"/>
      <c r="G94" s="15">
        <f>IF(E94="","",ROUND(E94*(1+F94),2))</f>
        <v/>
      </c>
      <c r="H94" s="15">
        <f>IF(OR(E94="",C94=""),"",ROUND(G94/(C94/1000),2))</f>
        <v/>
      </c>
      <c r="I94" s="7" t="n"/>
      <c r="J94" s="7" t="n"/>
      <c r="K94" s="7" t="n"/>
      <c r="L94" s="7" t="n"/>
      <c r="M94" s="7" t="n"/>
    </row>
    <row r="95">
      <c r="A95" s="7" t="n"/>
      <c r="B95" s="12">
        <f>IFERROR(INDEX(Produkte!$B$2:$B$301,MATCH(A95,Produkte!$A$2:$A$301,0)),"")</f>
        <v/>
      </c>
      <c r="C95" s="7" t="n"/>
      <c r="D95" s="7" t="n"/>
      <c r="E95" s="16" t="n"/>
      <c r="F95" s="8" t="n"/>
      <c r="G95" s="15">
        <f>IF(E95="","",ROUND(E95*(1+F95),2))</f>
        <v/>
      </c>
      <c r="H95" s="15">
        <f>IF(OR(E95="",C95=""),"",ROUND(G95/(C95/1000),2))</f>
        <v/>
      </c>
      <c r="I95" s="7" t="n"/>
      <c r="J95" s="7" t="n"/>
      <c r="K95" s="7" t="n"/>
      <c r="L95" s="7" t="n"/>
      <c r="M95" s="7" t="n"/>
    </row>
    <row r="96">
      <c r="A96" s="7" t="n"/>
      <c r="B96" s="12">
        <f>IFERROR(INDEX(Produkte!$B$2:$B$301,MATCH(A96,Produkte!$A$2:$A$301,0)),"")</f>
        <v/>
      </c>
      <c r="C96" s="7" t="n"/>
      <c r="D96" s="7" t="n"/>
      <c r="E96" s="16" t="n"/>
      <c r="F96" s="8" t="n"/>
      <c r="G96" s="15">
        <f>IF(E96="","",ROUND(E96*(1+F96),2))</f>
        <v/>
      </c>
      <c r="H96" s="15">
        <f>IF(OR(E96="",C96=""),"",ROUND(G96/(C96/1000),2))</f>
        <v/>
      </c>
      <c r="I96" s="7" t="n"/>
      <c r="J96" s="7" t="n"/>
      <c r="K96" s="7" t="n"/>
      <c r="L96" s="7" t="n"/>
      <c r="M96" s="7" t="n"/>
    </row>
    <row r="97">
      <c r="A97" s="7" t="n"/>
      <c r="B97" s="12">
        <f>IFERROR(INDEX(Produkte!$B$2:$B$301,MATCH(A97,Produkte!$A$2:$A$301,0)),"")</f>
        <v/>
      </c>
      <c r="C97" s="7" t="n"/>
      <c r="D97" s="7" t="n"/>
      <c r="E97" s="16" t="n"/>
      <c r="F97" s="8" t="n"/>
      <c r="G97" s="15">
        <f>IF(E97="","",ROUND(E97*(1+F97),2))</f>
        <v/>
      </c>
      <c r="H97" s="15">
        <f>IF(OR(E97="",C97=""),"",ROUND(G97/(C97/1000),2))</f>
        <v/>
      </c>
      <c r="I97" s="7" t="n"/>
      <c r="J97" s="7" t="n"/>
      <c r="K97" s="7" t="n"/>
      <c r="L97" s="7" t="n"/>
      <c r="M97" s="7" t="n"/>
    </row>
    <row r="98">
      <c r="A98" s="7" t="n"/>
      <c r="B98" s="12">
        <f>IFERROR(INDEX(Produkte!$B$2:$B$301,MATCH(A98,Produkte!$A$2:$A$301,0)),"")</f>
        <v/>
      </c>
      <c r="C98" s="7" t="n"/>
      <c r="D98" s="7" t="n"/>
      <c r="E98" s="16" t="n"/>
      <c r="F98" s="8" t="n"/>
      <c r="G98" s="15">
        <f>IF(E98="","",ROUND(E98*(1+F98),2))</f>
        <v/>
      </c>
      <c r="H98" s="15">
        <f>IF(OR(E98="",C98=""),"",ROUND(G98/(C98/1000),2))</f>
        <v/>
      </c>
      <c r="I98" s="7" t="n"/>
      <c r="J98" s="7" t="n"/>
      <c r="K98" s="7" t="n"/>
      <c r="L98" s="7" t="n"/>
      <c r="M98" s="7" t="n"/>
    </row>
    <row r="99">
      <c r="A99" s="7" t="n"/>
      <c r="B99" s="12">
        <f>IFERROR(INDEX(Produkte!$B$2:$B$301,MATCH(A99,Produkte!$A$2:$A$301,0)),"")</f>
        <v/>
      </c>
      <c r="C99" s="7" t="n"/>
      <c r="D99" s="7" t="n"/>
      <c r="E99" s="16" t="n"/>
      <c r="F99" s="8" t="n"/>
      <c r="G99" s="15">
        <f>IF(E99="","",ROUND(E99*(1+F99),2))</f>
        <v/>
      </c>
      <c r="H99" s="15">
        <f>IF(OR(E99="",C99=""),"",ROUND(G99/(C99/1000),2))</f>
        <v/>
      </c>
      <c r="I99" s="7" t="n"/>
      <c r="J99" s="7" t="n"/>
      <c r="K99" s="7" t="n"/>
      <c r="L99" s="7" t="n"/>
      <c r="M99" s="7" t="n"/>
    </row>
    <row r="100">
      <c r="A100" s="7" t="n"/>
      <c r="B100" s="12">
        <f>IFERROR(INDEX(Produkte!$B$2:$B$301,MATCH(A100,Produkte!$A$2:$A$301,0)),"")</f>
        <v/>
      </c>
      <c r="C100" s="7" t="n"/>
      <c r="D100" s="7" t="n"/>
      <c r="E100" s="16" t="n"/>
      <c r="F100" s="8" t="n"/>
      <c r="G100" s="15">
        <f>IF(E100="","",ROUND(E100*(1+F100),2))</f>
        <v/>
      </c>
      <c r="H100" s="15">
        <f>IF(OR(E100="",C100=""),"",ROUND(G100/(C100/1000),2))</f>
        <v/>
      </c>
      <c r="I100" s="7" t="n"/>
      <c r="J100" s="7" t="n"/>
      <c r="K100" s="7" t="n"/>
      <c r="L100" s="7" t="n"/>
      <c r="M100" s="7" t="n"/>
    </row>
    <row r="101">
      <c r="A101" s="7" t="n"/>
      <c r="B101" s="12">
        <f>IFERROR(INDEX(Produkte!$B$2:$B$301,MATCH(A101,Produkte!$A$2:$A$301,0)),"")</f>
        <v/>
      </c>
      <c r="C101" s="7" t="n"/>
      <c r="D101" s="7" t="n"/>
      <c r="E101" s="16" t="n"/>
      <c r="F101" s="8" t="n"/>
      <c r="G101" s="15">
        <f>IF(E101="","",ROUND(E101*(1+F101),2))</f>
        <v/>
      </c>
      <c r="H101" s="15">
        <f>IF(OR(E101="",C101=""),"",ROUND(G101/(C101/1000),2))</f>
        <v/>
      </c>
      <c r="I101" s="7" t="n"/>
      <c r="J101" s="7" t="n"/>
      <c r="K101" s="7" t="n"/>
      <c r="L101" s="7" t="n"/>
      <c r="M101" s="7" t="n"/>
    </row>
    <row r="102">
      <c r="A102" s="7" t="n"/>
      <c r="B102" s="12">
        <f>IFERROR(INDEX(Produkte!$B$2:$B$301,MATCH(A102,Produkte!$A$2:$A$301,0)),"")</f>
        <v/>
      </c>
      <c r="C102" s="7" t="n"/>
      <c r="D102" s="7" t="n"/>
      <c r="E102" s="16" t="n"/>
      <c r="F102" s="8" t="n"/>
      <c r="G102" s="15">
        <f>IF(E102="","",ROUND(E102*(1+F102),2))</f>
        <v/>
      </c>
      <c r="H102" s="15">
        <f>IF(OR(E102="",C102=""),"",ROUND(G102/(C102/1000),2))</f>
        <v/>
      </c>
      <c r="I102" s="7" t="n"/>
      <c r="J102" s="7" t="n"/>
      <c r="K102" s="7" t="n"/>
      <c r="L102" s="7" t="n"/>
      <c r="M102" s="7" t="n"/>
    </row>
    <row r="103">
      <c r="A103" s="7" t="n"/>
      <c r="B103" s="12">
        <f>IFERROR(INDEX(Produkte!$B$2:$B$301,MATCH(A103,Produkte!$A$2:$A$301,0)),"")</f>
        <v/>
      </c>
      <c r="C103" s="7" t="n"/>
      <c r="D103" s="7" t="n"/>
      <c r="E103" s="16" t="n"/>
      <c r="F103" s="8" t="n"/>
      <c r="G103" s="15">
        <f>IF(E103="","",ROUND(E103*(1+F103),2))</f>
        <v/>
      </c>
      <c r="H103" s="15">
        <f>IF(OR(E103="",C103=""),"",ROUND(G103/(C103/1000),2))</f>
        <v/>
      </c>
      <c r="I103" s="7" t="n"/>
      <c r="J103" s="7" t="n"/>
      <c r="K103" s="7" t="n"/>
      <c r="L103" s="7" t="n"/>
      <c r="M103" s="7" t="n"/>
    </row>
    <row r="104">
      <c r="A104" s="7" t="n"/>
      <c r="B104" s="12">
        <f>IFERROR(INDEX(Produkte!$B$2:$B$301,MATCH(A104,Produkte!$A$2:$A$301,0)),"")</f>
        <v/>
      </c>
      <c r="C104" s="7" t="n"/>
      <c r="D104" s="7" t="n"/>
      <c r="E104" s="16" t="n"/>
      <c r="F104" s="8" t="n"/>
      <c r="G104" s="15">
        <f>IF(E104="","",ROUND(E104*(1+F104),2))</f>
        <v/>
      </c>
      <c r="H104" s="15">
        <f>IF(OR(E104="",C104=""),"",ROUND(G104/(C104/1000),2))</f>
        <v/>
      </c>
      <c r="I104" s="7" t="n"/>
      <c r="J104" s="7" t="n"/>
      <c r="K104" s="7" t="n"/>
      <c r="L104" s="7" t="n"/>
      <c r="M104" s="7" t="n"/>
    </row>
    <row r="105">
      <c r="A105" s="7" t="n"/>
      <c r="B105" s="12">
        <f>IFERROR(INDEX(Produkte!$B$2:$B$301,MATCH(A105,Produkte!$A$2:$A$301,0)),"")</f>
        <v/>
      </c>
      <c r="C105" s="7" t="n"/>
      <c r="D105" s="7" t="n"/>
      <c r="E105" s="16" t="n"/>
      <c r="F105" s="8" t="n"/>
      <c r="G105" s="15">
        <f>IF(E105="","",ROUND(E105*(1+F105),2))</f>
        <v/>
      </c>
      <c r="H105" s="15">
        <f>IF(OR(E105="",C105=""),"",ROUND(G105/(C105/1000),2))</f>
        <v/>
      </c>
      <c r="I105" s="7" t="n"/>
      <c r="J105" s="7" t="n"/>
      <c r="K105" s="7" t="n"/>
      <c r="L105" s="7" t="n"/>
      <c r="M105" s="7" t="n"/>
    </row>
    <row r="106">
      <c r="A106" s="7" t="n"/>
      <c r="B106" s="12">
        <f>IFERROR(INDEX(Produkte!$B$2:$B$301,MATCH(A106,Produkte!$A$2:$A$301,0)),"")</f>
        <v/>
      </c>
      <c r="C106" s="7" t="n"/>
      <c r="D106" s="7" t="n"/>
      <c r="E106" s="16" t="n"/>
      <c r="F106" s="8" t="n"/>
      <c r="G106" s="15">
        <f>IF(E106="","",ROUND(E106*(1+F106),2))</f>
        <v/>
      </c>
      <c r="H106" s="15">
        <f>IF(OR(E106="",C106=""),"",ROUND(G106/(C106/1000),2))</f>
        <v/>
      </c>
      <c r="I106" s="7" t="n"/>
      <c r="J106" s="7" t="n"/>
      <c r="K106" s="7" t="n"/>
      <c r="L106" s="7" t="n"/>
      <c r="M106" s="7" t="n"/>
    </row>
    <row r="107">
      <c r="A107" s="7" t="n"/>
      <c r="B107" s="12">
        <f>IFERROR(INDEX(Produkte!$B$2:$B$301,MATCH(A107,Produkte!$A$2:$A$301,0)),"")</f>
        <v/>
      </c>
      <c r="C107" s="7" t="n"/>
      <c r="D107" s="7" t="n"/>
      <c r="E107" s="16" t="n"/>
      <c r="F107" s="8" t="n"/>
      <c r="G107" s="15">
        <f>IF(E107="","",ROUND(E107*(1+F107),2))</f>
        <v/>
      </c>
      <c r="H107" s="15">
        <f>IF(OR(E107="",C107=""),"",ROUND(G107/(C107/1000),2))</f>
        <v/>
      </c>
      <c r="I107" s="7" t="n"/>
      <c r="J107" s="7" t="n"/>
      <c r="K107" s="7" t="n"/>
      <c r="L107" s="7" t="n"/>
      <c r="M107" s="7" t="n"/>
    </row>
    <row r="108">
      <c r="A108" s="7" t="n"/>
      <c r="B108" s="12">
        <f>IFERROR(INDEX(Produkte!$B$2:$B$301,MATCH(A108,Produkte!$A$2:$A$301,0)),"")</f>
        <v/>
      </c>
      <c r="C108" s="7" t="n"/>
      <c r="D108" s="7" t="n"/>
      <c r="E108" s="16" t="n"/>
      <c r="F108" s="8" t="n"/>
      <c r="G108" s="15">
        <f>IF(E108="","",ROUND(E108*(1+F108),2))</f>
        <v/>
      </c>
      <c r="H108" s="15">
        <f>IF(OR(E108="",C108=""),"",ROUND(G108/(C108/1000),2))</f>
        <v/>
      </c>
      <c r="I108" s="7" t="n"/>
      <c r="J108" s="7" t="n"/>
      <c r="K108" s="7" t="n"/>
      <c r="L108" s="7" t="n"/>
      <c r="M108" s="7" t="n"/>
    </row>
    <row r="109">
      <c r="A109" s="7" t="n"/>
      <c r="B109" s="12">
        <f>IFERROR(INDEX(Produkte!$B$2:$B$301,MATCH(A109,Produkte!$A$2:$A$301,0)),"")</f>
        <v/>
      </c>
      <c r="C109" s="7" t="n"/>
      <c r="D109" s="7" t="n"/>
      <c r="E109" s="16" t="n"/>
      <c r="F109" s="8" t="n"/>
      <c r="G109" s="15">
        <f>IF(E109="","",ROUND(E109*(1+F109),2))</f>
        <v/>
      </c>
      <c r="H109" s="15">
        <f>IF(OR(E109="",C109=""),"",ROUND(G109/(C109/1000),2))</f>
        <v/>
      </c>
      <c r="I109" s="7" t="n"/>
      <c r="J109" s="7" t="n"/>
      <c r="K109" s="7" t="n"/>
      <c r="L109" s="7" t="n"/>
      <c r="M109" s="7" t="n"/>
    </row>
    <row r="110">
      <c r="A110" s="7" t="n"/>
      <c r="B110" s="12">
        <f>IFERROR(INDEX(Produkte!$B$2:$B$301,MATCH(A110,Produkte!$A$2:$A$301,0)),"")</f>
        <v/>
      </c>
      <c r="C110" s="7" t="n"/>
      <c r="D110" s="7" t="n"/>
      <c r="E110" s="16" t="n"/>
      <c r="F110" s="8" t="n"/>
      <c r="G110" s="15">
        <f>IF(E110="","",ROUND(E110*(1+F110),2))</f>
        <v/>
      </c>
      <c r="H110" s="15">
        <f>IF(OR(E110="",C110=""),"",ROUND(G110/(C110/1000),2))</f>
        <v/>
      </c>
      <c r="I110" s="7" t="n"/>
      <c r="J110" s="7" t="n"/>
      <c r="K110" s="7" t="n"/>
      <c r="L110" s="7" t="n"/>
      <c r="M110" s="7" t="n"/>
    </row>
    <row r="111">
      <c r="A111" s="7" t="n"/>
      <c r="B111" s="12">
        <f>IFERROR(INDEX(Produkte!$B$2:$B$301,MATCH(A111,Produkte!$A$2:$A$301,0)),"")</f>
        <v/>
      </c>
      <c r="C111" s="7" t="n"/>
      <c r="D111" s="7" t="n"/>
      <c r="E111" s="16" t="n"/>
      <c r="F111" s="8" t="n"/>
      <c r="G111" s="15">
        <f>IF(E111="","",ROUND(E111*(1+F111),2))</f>
        <v/>
      </c>
      <c r="H111" s="15">
        <f>IF(OR(E111="",C111=""),"",ROUND(G111/(C111/1000),2))</f>
        <v/>
      </c>
      <c r="I111" s="7" t="n"/>
      <c r="J111" s="7" t="n"/>
      <c r="K111" s="7" t="n"/>
      <c r="L111" s="7" t="n"/>
      <c r="M111" s="7" t="n"/>
    </row>
    <row r="112">
      <c r="A112" s="7" t="n"/>
      <c r="B112" s="12">
        <f>IFERROR(INDEX(Produkte!$B$2:$B$301,MATCH(A112,Produkte!$A$2:$A$301,0)),"")</f>
        <v/>
      </c>
      <c r="C112" s="7" t="n"/>
      <c r="D112" s="7" t="n"/>
      <c r="E112" s="16" t="n"/>
      <c r="F112" s="8" t="n"/>
      <c r="G112" s="15">
        <f>IF(E112="","",ROUND(E112*(1+F112),2))</f>
        <v/>
      </c>
      <c r="H112" s="15">
        <f>IF(OR(E112="",C112=""),"",ROUND(G112/(C112/1000),2))</f>
        <v/>
      </c>
      <c r="I112" s="7" t="n"/>
      <c r="J112" s="7" t="n"/>
      <c r="K112" s="7" t="n"/>
      <c r="L112" s="7" t="n"/>
      <c r="M112" s="7" t="n"/>
    </row>
    <row r="113">
      <c r="A113" s="7" t="n"/>
      <c r="B113" s="12">
        <f>IFERROR(INDEX(Produkte!$B$2:$B$301,MATCH(A113,Produkte!$A$2:$A$301,0)),"")</f>
        <v/>
      </c>
      <c r="C113" s="7" t="n"/>
      <c r="D113" s="7" t="n"/>
      <c r="E113" s="16" t="n"/>
      <c r="F113" s="8" t="n"/>
      <c r="G113" s="15">
        <f>IF(E113="","",ROUND(E113*(1+F113),2))</f>
        <v/>
      </c>
      <c r="H113" s="15">
        <f>IF(OR(E113="",C113=""),"",ROUND(G113/(C113/1000),2))</f>
        <v/>
      </c>
      <c r="I113" s="7" t="n"/>
      <c r="J113" s="7" t="n"/>
      <c r="K113" s="7" t="n"/>
      <c r="L113" s="7" t="n"/>
      <c r="M113" s="7" t="n"/>
    </row>
    <row r="114">
      <c r="A114" s="7" t="n"/>
      <c r="B114" s="12">
        <f>IFERROR(INDEX(Produkte!$B$2:$B$301,MATCH(A114,Produkte!$A$2:$A$301,0)),"")</f>
        <v/>
      </c>
      <c r="C114" s="7" t="n"/>
      <c r="D114" s="7" t="n"/>
      <c r="E114" s="16" t="n"/>
      <c r="F114" s="8" t="n"/>
      <c r="G114" s="15">
        <f>IF(E114="","",ROUND(E114*(1+F114),2))</f>
        <v/>
      </c>
      <c r="H114" s="15">
        <f>IF(OR(E114="",C114=""),"",ROUND(G114/(C114/1000),2))</f>
        <v/>
      </c>
      <c r="I114" s="7" t="n"/>
      <c r="J114" s="7" t="n"/>
      <c r="K114" s="7" t="n"/>
      <c r="L114" s="7" t="n"/>
      <c r="M114" s="7" t="n"/>
    </row>
    <row r="115">
      <c r="A115" s="7" t="n"/>
      <c r="B115" s="12">
        <f>IFERROR(INDEX(Produkte!$B$2:$B$301,MATCH(A115,Produkte!$A$2:$A$301,0)),"")</f>
        <v/>
      </c>
      <c r="C115" s="7" t="n"/>
      <c r="D115" s="7" t="n"/>
      <c r="E115" s="16" t="n"/>
      <c r="F115" s="8" t="n"/>
      <c r="G115" s="15">
        <f>IF(E115="","",ROUND(E115*(1+F115),2))</f>
        <v/>
      </c>
      <c r="H115" s="15">
        <f>IF(OR(E115="",C115=""),"",ROUND(G115/(C115/1000),2))</f>
        <v/>
      </c>
      <c r="I115" s="7" t="n"/>
      <c r="J115" s="7" t="n"/>
      <c r="K115" s="7" t="n"/>
      <c r="L115" s="7" t="n"/>
      <c r="M115" s="7" t="n"/>
    </row>
    <row r="116">
      <c r="A116" s="7" t="n"/>
      <c r="B116" s="12">
        <f>IFERROR(INDEX(Produkte!$B$2:$B$301,MATCH(A116,Produkte!$A$2:$A$301,0)),"")</f>
        <v/>
      </c>
      <c r="C116" s="7" t="n"/>
      <c r="D116" s="7" t="n"/>
      <c r="E116" s="16" t="n"/>
      <c r="F116" s="8" t="n"/>
      <c r="G116" s="15">
        <f>IF(E116="","",ROUND(E116*(1+F116),2))</f>
        <v/>
      </c>
      <c r="H116" s="15">
        <f>IF(OR(E116="",C116=""),"",ROUND(G116/(C116/1000),2))</f>
        <v/>
      </c>
      <c r="I116" s="7" t="n"/>
      <c r="J116" s="7" t="n"/>
      <c r="K116" s="7" t="n"/>
      <c r="L116" s="7" t="n"/>
      <c r="M116" s="7" t="n"/>
    </row>
    <row r="117">
      <c r="A117" s="7" t="n"/>
      <c r="B117" s="12">
        <f>IFERROR(INDEX(Produkte!$B$2:$B$301,MATCH(A117,Produkte!$A$2:$A$301,0)),"")</f>
        <v/>
      </c>
      <c r="C117" s="7" t="n"/>
      <c r="D117" s="7" t="n"/>
      <c r="E117" s="16" t="n"/>
      <c r="F117" s="8" t="n"/>
      <c r="G117" s="15">
        <f>IF(E117="","",ROUND(E117*(1+F117),2))</f>
        <v/>
      </c>
      <c r="H117" s="15">
        <f>IF(OR(E117="",C117=""),"",ROUND(G117/(C117/1000),2))</f>
        <v/>
      </c>
      <c r="I117" s="7" t="n"/>
      <c r="J117" s="7" t="n"/>
      <c r="K117" s="7" t="n"/>
      <c r="L117" s="7" t="n"/>
      <c r="M117" s="7" t="n"/>
    </row>
    <row r="118">
      <c r="A118" s="7" t="n"/>
      <c r="B118" s="12">
        <f>IFERROR(INDEX(Produkte!$B$2:$B$301,MATCH(A118,Produkte!$A$2:$A$301,0)),"")</f>
        <v/>
      </c>
      <c r="C118" s="7" t="n"/>
      <c r="D118" s="7" t="n"/>
      <c r="E118" s="16" t="n"/>
      <c r="F118" s="8" t="n"/>
      <c r="G118" s="15">
        <f>IF(E118="","",ROUND(E118*(1+F118),2))</f>
        <v/>
      </c>
      <c r="H118" s="15">
        <f>IF(OR(E118="",C118=""),"",ROUND(G118/(C118/1000),2))</f>
        <v/>
      </c>
      <c r="I118" s="7" t="n"/>
      <c r="J118" s="7" t="n"/>
      <c r="K118" s="7" t="n"/>
      <c r="L118" s="7" t="n"/>
      <c r="M118" s="7" t="n"/>
    </row>
    <row r="119">
      <c r="A119" s="7" t="n"/>
      <c r="B119" s="12">
        <f>IFERROR(INDEX(Produkte!$B$2:$B$301,MATCH(A119,Produkte!$A$2:$A$301,0)),"")</f>
        <v/>
      </c>
      <c r="C119" s="7" t="n"/>
      <c r="D119" s="7" t="n"/>
      <c r="E119" s="16" t="n"/>
      <c r="F119" s="8" t="n"/>
      <c r="G119" s="15">
        <f>IF(E119="","",ROUND(E119*(1+F119),2))</f>
        <v/>
      </c>
      <c r="H119" s="15">
        <f>IF(OR(E119="",C119=""),"",ROUND(G119/(C119/1000),2))</f>
        <v/>
      </c>
      <c r="I119" s="7" t="n"/>
      <c r="J119" s="7" t="n"/>
      <c r="K119" s="7" t="n"/>
      <c r="L119" s="7" t="n"/>
      <c r="M119" s="7" t="n"/>
    </row>
    <row r="120">
      <c r="A120" s="7" t="n"/>
      <c r="B120" s="12">
        <f>IFERROR(INDEX(Produkte!$B$2:$B$301,MATCH(A120,Produkte!$A$2:$A$301,0)),"")</f>
        <v/>
      </c>
      <c r="C120" s="7" t="n"/>
      <c r="D120" s="7" t="n"/>
      <c r="E120" s="16" t="n"/>
      <c r="F120" s="8" t="n"/>
      <c r="G120" s="15">
        <f>IF(E120="","",ROUND(E120*(1+F120),2))</f>
        <v/>
      </c>
      <c r="H120" s="15">
        <f>IF(OR(E120="",C120=""),"",ROUND(G120/(C120/1000),2))</f>
        <v/>
      </c>
      <c r="I120" s="7" t="n"/>
      <c r="J120" s="7" t="n"/>
      <c r="K120" s="7" t="n"/>
      <c r="L120" s="7" t="n"/>
      <c r="M120" s="7" t="n"/>
    </row>
    <row r="121">
      <c r="A121" s="7" t="n"/>
      <c r="B121" s="12">
        <f>IFERROR(INDEX(Produkte!$B$2:$B$301,MATCH(A121,Produkte!$A$2:$A$301,0)),"")</f>
        <v/>
      </c>
      <c r="C121" s="7" t="n"/>
      <c r="D121" s="7" t="n"/>
      <c r="E121" s="16" t="n"/>
      <c r="F121" s="8" t="n"/>
      <c r="G121" s="15">
        <f>IF(E121="","",ROUND(E121*(1+F121),2))</f>
        <v/>
      </c>
      <c r="H121" s="15">
        <f>IF(OR(E121="",C121=""),"",ROUND(G121/(C121/1000),2))</f>
        <v/>
      </c>
      <c r="I121" s="7" t="n"/>
      <c r="J121" s="7" t="n"/>
      <c r="K121" s="7" t="n"/>
      <c r="L121" s="7" t="n"/>
      <c r="M121" s="7" t="n"/>
    </row>
    <row r="122">
      <c r="A122" s="7" t="n"/>
      <c r="B122" s="12">
        <f>IFERROR(INDEX(Produkte!$B$2:$B$301,MATCH(A122,Produkte!$A$2:$A$301,0)),"")</f>
        <v/>
      </c>
      <c r="C122" s="7" t="n"/>
      <c r="D122" s="7" t="n"/>
      <c r="E122" s="16" t="n"/>
      <c r="F122" s="8" t="n"/>
      <c r="G122" s="15">
        <f>IF(E122="","",ROUND(E122*(1+F122),2))</f>
        <v/>
      </c>
      <c r="H122" s="15">
        <f>IF(OR(E122="",C122=""),"",ROUND(G122/(C122/1000),2))</f>
        <v/>
      </c>
      <c r="I122" s="7" t="n"/>
      <c r="J122" s="7" t="n"/>
      <c r="K122" s="7" t="n"/>
      <c r="L122" s="7" t="n"/>
      <c r="M122" s="7" t="n"/>
    </row>
    <row r="123">
      <c r="A123" s="7" t="n"/>
      <c r="B123" s="12">
        <f>IFERROR(INDEX(Produkte!$B$2:$B$301,MATCH(A123,Produkte!$A$2:$A$301,0)),"")</f>
        <v/>
      </c>
      <c r="C123" s="7" t="n"/>
      <c r="D123" s="7" t="n"/>
      <c r="E123" s="16" t="n"/>
      <c r="F123" s="8" t="n"/>
      <c r="G123" s="15">
        <f>IF(E123="","",ROUND(E123*(1+F123),2))</f>
        <v/>
      </c>
      <c r="H123" s="15">
        <f>IF(OR(E123="",C123=""),"",ROUND(G123/(C123/1000),2))</f>
        <v/>
      </c>
      <c r="I123" s="7" t="n"/>
      <c r="J123" s="7" t="n"/>
      <c r="K123" s="7" t="n"/>
      <c r="L123" s="7" t="n"/>
      <c r="M123" s="7" t="n"/>
    </row>
    <row r="124">
      <c r="A124" s="7" t="n"/>
      <c r="B124" s="12">
        <f>IFERROR(INDEX(Produkte!$B$2:$B$301,MATCH(A124,Produkte!$A$2:$A$301,0)),"")</f>
        <v/>
      </c>
      <c r="C124" s="7" t="n"/>
      <c r="D124" s="7" t="n"/>
      <c r="E124" s="16" t="n"/>
      <c r="F124" s="8" t="n"/>
      <c r="G124" s="15">
        <f>IF(E124="","",ROUND(E124*(1+F124),2))</f>
        <v/>
      </c>
      <c r="H124" s="15">
        <f>IF(OR(E124="",C124=""),"",ROUND(G124/(C124/1000),2))</f>
        <v/>
      </c>
      <c r="I124" s="7" t="n"/>
      <c r="J124" s="7" t="n"/>
      <c r="K124" s="7" t="n"/>
      <c r="L124" s="7" t="n"/>
      <c r="M124" s="7" t="n"/>
    </row>
    <row r="125">
      <c r="A125" s="7" t="n"/>
      <c r="B125" s="12">
        <f>IFERROR(INDEX(Produkte!$B$2:$B$301,MATCH(A125,Produkte!$A$2:$A$301,0)),"")</f>
        <v/>
      </c>
      <c r="C125" s="7" t="n"/>
      <c r="D125" s="7" t="n"/>
      <c r="E125" s="16" t="n"/>
      <c r="F125" s="8" t="n"/>
      <c r="G125" s="15">
        <f>IF(E125="","",ROUND(E125*(1+F125),2))</f>
        <v/>
      </c>
      <c r="H125" s="15">
        <f>IF(OR(E125="",C125=""),"",ROUND(G125/(C125/1000),2))</f>
        <v/>
      </c>
      <c r="I125" s="7" t="n"/>
      <c r="J125" s="7" t="n"/>
      <c r="K125" s="7" t="n"/>
      <c r="L125" s="7" t="n"/>
      <c r="M125" s="7" t="n"/>
    </row>
    <row r="126">
      <c r="A126" s="7" t="n"/>
      <c r="B126" s="12">
        <f>IFERROR(INDEX(Produkte!$B$2:$B$301,MATCH(A126,Produkte!$A$2:$A$301,0)),"")</f>
        <v/>
      </c>
      <c r="C126" s="7" t="n"/>
      <c r="D126" s="7" t="n"/>
      <c r="E126" s="16" t="n"/>
      <c r="F126" s="8" t="n"/>
      <c r="G126" s="15">
        <f>IF(E126="","",ROUND(E126*(1+F126),2))</f>
        <v/>
      </c>
      <c r="H126" s="15">
        <f>IF(OR(E126="",C126=""),"",ROUND(G126/(C126/1000),2))</f>
        <v/>
      </c>
      <c r="I126" s="7" t="n"/>
      <c r="J126" s="7" t="n"/>
      <c r="K126" s="7" t="n"/>
      <c r="L126" s="7" t="n"/>
      <c r="M126" s="7" t="n"/>
    </row>
    <row r="127">
      <c r="A127" s="7" t="n"/>
      <c r="B127" s="12">
        <f>IFERROR(INDEX(Produkte!$B$2:$B$301,MATCH(A127,Produkte!$A$2:$A$301,0)),"")</f>
        <v/>
      </c>
      <c r="C127" s="7" t="n"/>
      <c r="D127" s="7" t="n"/>
      <c r="E127" s="16" t="n"/>
      <c r="F127" s="8" t="n"/>
      <c r="G127" s="15">
        <f>IF(E127="","",ROUND(E127*(1+F127),2))</f>
        <v/>
      </c>
      <c r="H127" s="15">
        <f>IF(OR(E127="",C127=""),"",ROUND(G127/(C127/1000),2))</f>
        <v/>
      </c>
      <c r="I127" s="7" t="n"/>
      <c r="J127" s="7" t="n"/>
      <c r="K127" s="7" t="n"/>
      <c r="L127" s="7" t="n"/>
      <c r="M127" s="7" t="n"/>
    </row>
    <row r="128">
      <c r="A128" s="7" t="n"/>
      <c r="B128" s="12">
        <f>IFERROR(INDEX(Produkte!$B$2:$B$301,MATCH(A128,Produkte!$A$2:$A$301,0)),"")</f>
        <v/>
      </c>
      <c r="C128" s="7" t="n"/>
      <c r="D128" s="7" t="n"/>
      <c r="E128" s="16" t="n"/>
      <c r="F128" s="8" t="n"/>
      <c r="G128" s="15">
        <f>IF(E128="","",ROUND(E128*(1+F128),2))</f>
        <v/>
      </c>
      <c r="H128" s="15">
        <f>IF(OR(E128="",C128=""),"",ROUND(G128/(C128/1000),2))</f>
        <v/>
      </c>
      <c r="I128" s="7" t="n"/>
      <c r="J128" s="7" t="n"/>
      <c r="K128" s="7" t="n"/>
      <c r="L128" s="7" t="n"/>
      <c r="M128" s="7" t="n"/>
    </row>
    <row r="129">
      <c r="A129" s="7" t="n"/>
      <c r="B129" s="12">
        <f>IFERROR(INDEX(Produkte!$B$2:$B$301,MATCH(A129,Produkte!$A$2:$A$301,0)),"")</f>
        <v/>
      </c>
      <c r="C129" s="7" t="n"/>
      <c r="D129" s="7" t="n"/>
      <c r="E129" s="16" t="n"/>
      <c r="F129" s="8" t="n"/>
      <c r="G129" s="15">
        <f>IF(E129="","",ROUND(E129*(1+F129),2))</f>
        <v/>
      </c>
      <c r="H129" s="15">
        <f>IF(OR(E129="",C129=""),"",ROUND(G129/(C129/1000),2))</f>
        <v/>
      </c>
      <c r="I129" s="7" t="n"/>
      <c r="J129" s="7" t="n"/>
      <c r="K129" s="7" t="n"/>
      <c r="L129" s="7" t="n"/>
      <c r="M129" s="7" t="n"/>
    </row>
    <row r="130">
      <c r="A130" s="7" t="n"/>
      <c r="B130" s="12">
        <f>IFERROR(INDEX(Produkte!$B$2:$B$301,MATCH(A130,Produkte!$A$2:$A$301,0)),"")</f>
        <v/>
      </c>
      <c r="C130" s="7" t="n"/>
      <c r="D130" s="7" t="n"/>
      <c r="E130" s="16" t="n"/>
      <c r="F130" s="8" t="n"/>
      <c r="G130" s="15">
        <f>IF(E130="","",ROUND(E130*(1+F130),2))</f>
        <v/>
      </c>
      <c r="H130" s="15">
        <f>IF(OR(E130="",C130=""),"",ROUND(G130/(C130/1000),2))</f>
        <v/>
      </c>
      <c r="I130" s="7" t="n"/>
      <c r="J130" s="7" t="n"/>
      <c r="K130" s="7" t="n"/>
      <c r="L130" s="7" t="n"/>
      <c r="M130" s="7" t="n"/>
    </row>
    <row r="131">
      <c r="A131" s="7" t="n"/>
      <c r="B131" s="12">
        <f>IFERROR(INDEX(Produkte!$B$2:$B$301,MATCH(A131,Produkte!$A$2:$A$301,0)),"")</f>
        <v/>
      </c>
      <c r="C131" s="7" t="n"/>
      <c r="D131" s="7" t="n"/>
      <c r="E131" s="16" t="n"/>
      <c r="F131" s="8" t="n"/>
      <c r="G131" s="15">
        <f>IF(E131="","",ROUND(E131*(1+F131),2))</f>
        <v/>
      </c>
      <c r="H131" s="15">
        <f>IF(OR(E131="",C131=""),"",ROUND(G131/(C131/1000),2))</f>
        <v/>
      </c>
      <c r="I131" s="7" t="n"/>
      <c r="J131" s="7" t="n"/>
      <c r="K131" s="7" t="n"/>
      <c r="L131" s="7" t="n"/>
      <c r="M131" s="7" t="n"/>
    </row>
    <row r="132">
      <c r="A132" s="7" t="n"/>
      <c r="B132" s="12">
        <f>IFERROR(INDEX(Produkte!$B$2:$B$301,MATCH(A132,Produkte!$A$2:$A$301,0)),"")</f>
        <v/>
      </c>
      <c r="C132" s="7" t="n"/>
      <c r="D132" s="7" t="n"/>
      <c r="E132" s="16" t="n"/>
      <c r="F132" s="8" t="n"/>
      <c r="G132" s="15">
        <f>IF(E132="","",ROUND(E132*(1+F132),2))</f>
        <v/>
      </c>
      <c r="H132" s="15">
        <f>IF(OR(E132="",C132=""),"",ROUND(G132/(C132/1000),2))</f>
        <v/>
      </c>
      <c r="I132" s="7" t="n"/>
      <c r="J132" s="7" t="n"/>
      <c r="K132" s="7" t="n"/>
      <c r="L132" s="7" t="n"/>
      <c r="M132" s="7" t="n"/>
    </row>
    <row r="133">
      <c r="A133" s="7" t="n"/>
      <c r="B133" s="12">
        <f>IFERROR(INDEX(Produkte!$B$2:$B$301,MATCH(A133,Produkte!$A$2:$A$301,0)),"")</f>
        <v/>
      </c>
      <c r="C133" s="7" t="n"/>
      <c r="D133" s="7" t="n"/>
      <c r="E133" s="16" t="n"/>
      <c r="F133" s="8" t="n"/>
      <c r="G133" s="15">
        <f>IF(E133="","",ROUND(E133*(1+F133),2))</f>
        <v/>
      </c>
      <c r="H133" s="15">
        <f>IF(OR(E133="",C133=""),"",ROUND(G133/(C133/1000),2))</f>
        <v/>
      </c>
      <c r="I133" s="7" t="n"/>
      <c r="J133" s="7" t="n"/>
      <c r="K133" s="7" t="n"/>
      <c r="L133" s="7" t="n"/>
      <c r="M133" s="7" t="n"/>
    </row>
    <row r="134">
      <c r="A134" s="7" t="n"/>
      <c r="B134" s="12">
        <f>IFERROR(INDEX(Produkte!$B$2:$B$301,MATCH(A134,Produkte!$A$2:$A$301,0)),"")</f>
        <v/>
      </c>
      <c r="C134" s="7" t="n"/>
      <c r="D134" s="7" t="n"/>
      <c r="E134" s="16" t="n"/>
      <c r="F134" s="8" t="n"/>
      <c r="G134" s="15">
        <f>IF(E134="","",ROUND(E134*(1+F134),2))</f>
        <v/>
      </c>
      <c r="H134" s="15">
        <f>IF(OR(E134="",C134=""),"",ROUND(G134/(C134/1000),2))</f>
        <v/>
      </c>
      <c r="I134" s="7" t="n"/>
      <c r="J134" s="7" t="n"/>
      <c r="K134" s="7" t="n"/>
      <c r="L134" s="7" t="n"/>
      <c r="M134" s="7" t="n"/>
    </row>
    <row r="135">
      <c r="A135" s="7" t="n"/>
      <c r="B135" s="12">
        <f>IFERROR(INDEX(Produkte!$B$2:$B$301,MATCH(A135,Produkte!$A$2:$A$301,0)),"")</f>
        <v/>
      </c>
      <c r="C135" s="7" t="n"/>
      <c r="D135" s="7" t="n"/>
      <c r="E135" s="16" t="n"/>
      <c r="F135" s="8" t="n"/>
      <c r="G135" s="15">
        <f>IF(E135="","",ROUND(E135*(1+F135),2))</f>
        <v/>
      </c>
      <c r="H135" s="15">
        <f>IF(OR(E135="",C135=""),"",ROUND(G135/(C135/1000),2))</f>
        <v/>
      </c>
      <c r="I135" s="7" t="n"/>
      <c r="J135" s="7" t="n"/>
      <c r="K135" s="7" t="n"/>
      <c r="L135" s="7" t="n"/>
      <c r="M135" s="7" t="n"/>
    </row>
    <row r="136">
      <c r="A136" s="7" t="n"/>
      <c r="B136" s="12">
        <f>IFERROR(INDEX(Produkte!$B$2:$B$301,MATCH(A136,Produkte!$A$2:$A$301,0)),"")</f>
        <v/>
      </c>
      <c r="C136" s="7" t="n"/>
      <c r="D136" s="7" t="n"/>
      <c r="E136" s="16" t="n"/>
      <c r="F136" s="8" t="n"/>
      <c r="G136" s="15">
        <f>IF(E136="","",ROUND(E136*(1+F136),2))</f>
        <v/>
      </c>
      <c r="H136" s="15">
        <f>IF(OR(E136="",C136=""),"",ROUND(G136/(C136/1000),2))</f>
        <v/>
      </c>
      <c r="I136" s="7" t="n"/>
      <c r="J136" s="7" t="n"/>
      <c r="K136" s="7" t="n"/>
      <c r="L136" s="7" t="n"/>
      <c r="M136" s="7" t="n"/>
    </row>
    <row r="137">
      <c r="A137" s="7" t="n"/>
      <c r="B137" s="12">
        <f>IFERROR(INDEX(Produkte!$B$2:$B$301,MATCH(A137,Produkte!$A$2:$A$301,0)),"")</f>
        <v/>
      </c>
      <c r="C137" s="7" t="n"/>
      <c r="D137" s="7" t="n"/>
      <c r="E137" s="16" t="n"/>
      <c r="F137" s="8" t="n"/>
      <c r="G137" s="15">
        <f>IF(E137="","",ROUND(E137*(1+F137),2))</f>
        <v/>
      </c>
      <c r="H137" s="15">
        <f>IF(OR(E137="",C137=""),"",ROUND(G137/(C137/1000),2))</f>
        <v/>
      </c>
      <c r="I137" s="7" t="n"/>
      <c r="J137" s="7" t="n"/>
      <c r="K137" s="7" t="n"/>
      <c r="L137" s="7" t="n"/>
      <c r="M137" s="7" t="n"/>
    </row>
    <row r="138">
      <c r="A138" s="7" t="n"/>
      <c r="B138" s="12">
        <f>IFERROR(INDEX(Produkte!$B$2:$B$301,MATCH(A138,Produkte!$A$2:$A$301,0)),"")</f>
        <v/>
      </c>
      <c r="C138" s="7" t="n"/>
      <c r="D138" s="7" t="n"/>
      <c r="E138" s="16" t="n"/>
      <c r="F138" s="8" t="n"/>
      <c r="G138" s="15">
        <f>IF(E138="","",ROUND(E138*(1+F138),2))</f>
        <v/>
      </c>
      <c r="H138" s="15">
        <f>IF(OR(E138="",C138=""),"",ROUND(G138/(C138/1000),2))</f>
        <v/>
      </c>
      <c r="I138" s="7" t="n"/>
      <c r="J138" s="7" t="n"/>
      <c r="K138" s="7" t="n"/>
      <c r="L138" s="7" t="n"/>
      <c r="M138" s="7" t="n"/>
    </row>
    <row r="139">
      <c r="A139" s="7" t="n"/>
      <c r="B139" s="12">
        <f>IFERROR(INDEX(Produkte!$B$2:$B$301,MATCH(A139,Produkte!$A$2:$A$301,0)),"")</f>
        <v/>
      </c>
      <c r="C139" s="7" t="n"/>
      <c r="D139" s="7" t="n"/>
      <c r="E139" s="16" t="n"/>
      <c r="F139" s="8" t="n"/>
      <c r="G139" s="15">
        <f>IF(E139="","",ROUND(E139*(1+F139),2))</f>
        <v/>
      </c>
      <c r="H139" s="15">
        <f>IF(OR(E139="",C139=""),"",ROUND(G139/(C139/1000),2))</f>
        <v/>
      </c>
      <c r="I139" s="7" t="n"/>
      <c r="J139" s="7" t="n"/>
      <c r="K139" s="7" t="n"/>
      <c r="L139" s="7" t="n"/>
      <c r="M139" s="7" t="n"/>
    </row>
    <row r="140">
      <c r="A140" s="7" t="n"/>
      <c r="B140" s="12">
        <f>IFERROR(INDEX(Produkte!$B$2:$B$301,MATCH(A140,Produkte!$A$2:$A$301,0)),"")</f>
        <v/>
      </c>
      <c r="C140" s="7" t="n"/>
      <c r="D140" s="7" t="n"/>
      <c r="E140" s="16" t="n"/>
      <c r="F140" s="8" t="n"/>
      <c r="G140" s="15">
        <f>IF(E140="","",ROUND(E140*(1+F140),2))</f>
        <v/>
      </c>
      <c r="H140" s="15">
        <f>IF(OR(E140="",C140=""),"",ROUND(G140/(C140/1000),2))</f>
        <v/>
      </c>
      <c r="I140" s="7" t="n"/>
      <c r="J140" s="7" t="n"/>
      <c r="K140" s="7" t="n"/>
      <c r="L140" s="7" t="n"/>
      <c r="M140" s="7" t="n"/>
    </row>
    <row r="141">
      <c r="A141" s="7" t="n"/>
      <c r="B141" s="12">
        <f>IFERROR(INDEX(Produkte!$B$2:$B$301,MATCH(A141,Produkte!$A$2:$A$301,0)),"")</f>
        <v/>
      </c>
      <c r="C141" s="7" t="n"/>
      <c r="D141" s="7" t="n"/>
      <c r="E141" s="16" t="n"/>
      <c r="F141" s="8" t="n"/>
      <c r="G141" s="15">
        <f>IF(E141="","",ROUND(E141*(1+F141),2))</f>
        <v/>
      </c>
      <c r="H141" s="15">
        <f>IF(OR(E141="",C141=""),"",ROUND(G141/(C141/1000),2))</f>
        <v/>
      </c>
      <c r="I141" s="7" t="n"/>
      <c r="J141" s="7" t="n"/>
      <c r="K141" s="7" t="n"/>
      <c r="L141" s="7" t="n"/>
      <c r="M141" s="7" t="n"/>
    </row>
    <row r="142">
      <c r="A142" s="7" t="n"/>
      <c r="B142" s="12">
        <f>IFERROR(INDEX(Produkte!$B$2:$B$301,MATCH(A142,Produkte!$A$2:$A$301,0)),"")</f>
        <v/>
      </c>
      <c r="C142" s="7" t="n"/>
      <c r="D142" s="7" t="n"/>
      <c r="E142" s="16" t="n"/>
      <c r="F142" s="8" t="n"/>
      <c r="G142" s="15">
        <f>IF(E142="","",ROUND(E142*(1+F142),2))</f>
        <v/>
      </c>
      <c r="H142" s="15">
        <f>IF(OR(E142="",C142=""),"",ROUND(G142/(C142/1000),2))</f>
        <v/>
      </c>
      <c r="I142" s="7" t="n"/>
      <c r="J142" s="7" t="n"/>
      <c r="K142" s="7" t="n"/>
      <c r="L142" s="7" t="n"/>
      <c r="M142" s="7" t="n"/>
    </row>
    <row r="143">
      <c r="A143" s="7" t="n"/>
      <c r="B143" s="12">
        <f>IFERROR(INDEX(Produkte!$B$2:$B$301,MATCH(A143,Produkte!$A$2:$A$301,0)),"")</f>
        <v/>
      </c>
      <c r="C143" s="7" t="n"/>
      <c r="D143" s="7" t="n"/>
      <c r="E143" s="16" t="n"/>
      <c r="F143" s="8" t="n"/>
      <c r="G143" s="15">
        <f>IF(E143="","",ROUND(E143*(1+F143),2))</f>
        <v/>
      </c>
      <c r="H143" s="15">
        <f>IF(OR(E143="",C143=""),"",ROUND(G143/(C143/1000),2))</f>
        <v/>
      </c>
      <c r="I143" s="7" t="n"/>
      <c r="J143" s="7" t="n"/>
      <c r="K143" s="7" t="n"/>
      <c r="L143" s="7" t="n"/>
      <c r="M143" s="7" t="n"/>
    </row>
    <row r="144">
      <c r="A144" s="7" t="n"/>
      <c r="B144" s="12">
        <f>IFERROR(INDEX(Produkte!$B$2:$B$301,MATCH(A144,Produkte!$A$2:$A$301,0)),"")</f>
        <v/>
      </c>
      <c r="C144" s="7" t="n"/>
      <c r="D144" s="7" t="n"/>
      <c r="E144" s="16" t="n"/>
      <c r="F144" s="8" t="n"/>
      <c r="G144" s="15">
        <f>IF(E144="","",ROUND(E144*(1+F144),2))</f>
        <v/>
      </c>
      <c r="H144" s="15">
        <f>IF(OR(E144="",C144=""),"",ROUND(G144/(C144/1000),2))</f>
        <v/>
      </c>
      <c r="I144" s="7" t="n"/>
      <c r="J144" s="7" t="n"/>
      <c r="K144" s="7" t="n"/>
      <c r="L144" s="7" t="n"/>
      <c r="M144" s="7" t="n"/>
    </row>
    <row r="145">
      <c r="A145" s="7" t="n"/>
      <c r="B145" s="12">
        <f>IFERROR(INDEX(Produkte!$B$2:$B$301,MATCH(A145,Produkte!$A$2:$A$301,0)),"")</f>
        <v/>
      </c>
      <c r="C145" s="7" t="n"/>
      <c r="D145" s="7" t="n"/>
      <c r="E145" s="16" t="n"/>
      <c r="F145" s="8" t="n"/>
      <c r="G145" s="15">
        <f>IF(E145="","",ROUND(E145*(1+F145),2))</f>
        <v/>
      </c>
      <c r="H145" s="15">
        <f>IF(OR(E145="",C145=""),"",ROUND(G145/(C145/1000),2))</f>
        <v/>
      </c>
      <c r="I145" s="7" t="n"/>
      <c r="J145" s="7" t="n"/>
      <c r="K145" s="7" t="n"/>
      <c r="L145" s="7" t="n"/>
      <c r="M145" s="7" t="n"/>
    </row>
    <row r="146">
      <c r="A146" s="7" t="n"/>
      <c r="B146" s="12">
        <f>IFERROR(INDEX(Produkte!$B$2:$B$301,MATCH(A146,Produkte!$A$2:$A$301,0)),"")</f>
        <v/>
      </c>
      <c r="C146" s="7" t="n"/>
      <c r="D146" s="7" t="n"/>
      <c r="E146" s="16" t="n"/>
      <c r="F146" s="8" t="n"/>
      <c r="G146" s="15">
        <f>IF(E146="","",ROUND(E146*(1+F146),2))</f>
        <v/>
      </c>
      <c r="H146" s="15">
        <f>IF(OR(E146="",C146=""),"",ROUND(G146/(C146/1000),2))</f>
        <v/>
      </c>
      <c r="I146" s="7" t="n"/>
      <c r="J146" s="7" t="n"/>
      <c r="K146" s="7" t="n"/>
      <c r="L146" s="7" t="n"/>
      <c r="M146" s="7" t="n"/>
    </row>
    <row r="147">
      <c r="A147" s="7" t="n"/>
      <c r="B147" s="12">
        <f>IFERROR(INDEX(Produkte!$B$2:$B$301,MATCH(A147,Produkte!$A$2:$A$301,0)),"")</f>
        <v/>
      </c>
      <c r="C147" s="7" t="n"/>
      <c r="D147" s="7" t="n"/>
      <c r="E147" s="16" t="n"/>
      <c r="F147" s="8" t="n"/>
      <c r="G147" s="15">
        <f>IF(E147="","",ROUND(E147*(1+F147),2))</f>
        <v/>
      </c>
      <c r="H147" s="15">
        <f>IF(OR(E147="",C147=""),"",ROUND(G147/(C147/1000),2))</f>
        <v/>
      </c>
      <c r="I147" s="7" t="n"/>
      <c r="J147" s="7" t="n"/>
      <c r="K147" s="7" t="n"/>
      <c r="L147" s="7" t="n"/>
      <c r="M147" s="7" t="n"/>
    </row>
    <row r="148">
      <c r="A148" s="7" t="n"/>
      <c r="B148" s="12">
        <f>IFERROR(INDEX(Produkte!$B$2:$B$301,MATCH(A148,Produkte!$A$2:$A$301,0)),"")</f>
        <v/>
      </c>
      <c r="C148" s="7" t="n"/>
      <c r="D148" s="7" t="n"/>
      <c r="E148" s="16" t="n"/>
      <c r="F148" s="8" t="n"/>
      <c r="G148" s="15">
        <f>IF(E148="","",ROUND(E148*(1+F148),2))</f>
        <v/>
      </c>
      <c r="H148" s="15">
        <f>IF(OR(E148="",C148=""),"",ROUND(G148/(C148/1000),2))</f>
        <v/>
      </c>
      <c r="I148" s="7" t="n"/>
      <c r="J148" s="7" t="n"/>
      <c r="K148" s="7" t="n"/>
      <c r="L148" s="7" t="n"/>
      <c r="M148" s="7" t="n"/>
    </row>
    <row r="149">
      <c r="A149" s="7" t="n"/>
      <c r="B149" s="12">
        <f>IFERROR(INDEX(Produkte!$B$2:$B$301,MATCH(A149,Produkte!$A$2:$A$301,0)),"")</f>
        <v/>
      </c>
      <c r="C149" s="7" t="n"/>
      <c r="D149" s="7" t="n"/>
      <c r="E149" s="16" t="n"/>
      <c r="F149" s="8" t="n"/>
      <c r="G149" s="15">
        <f>IF(E149="","",ROUND(E149*(1+F149),2))</f>
        <v/>
      </c>
      <c r="H149" s="15">
        <f>IF(OR(E149="",C149=""),"",ROUND(G149/(C149/1000),2))</f>
        <v/>
      </c>
      <c r="I149" s="7" t="n"/>
      <c r="J149" s="7" t="n"/>
      <c r="K149" s="7" t="n"/>
      <c r="L149" s="7" t="n"/>
      <c r="M149" s="7" t="n"/>
    </row>
    <row r="150">
      <c r="A150" s="7" t="n"/>
      <c r="B150" s="12">
        <f>IFERROR(INDEX(Produkte!$B$2:$B$301,MATCH(A150,Produkte!$A$2:$A$301,0)),"")</f>
        <v/>
      </c>
      <c r="C150" s="7" t="n"/>
      <c r="D150" s="7" t="n"/>
      <c r="E150" s="16" t="n"/>
      <c r="F150" s="8" t="n"/>
      <c r="G150" s="15">
        <f>IF(E150="","",ROUND(E150*(1+F150),2))</f>
        <v/>
      </c>
      <c r="H150" s="15">
        <f>IF(OR(E150="",C150=""),"",ROUND(G150/(C150/1000),2))</f>
        <v/>
      </c>
      <c r="I150" s="7" t="n"/>
      <c r="J150" s="7" t="n"/>
      <c r="K150" s="7" t="n"/>
      <c r="L150" s="7" t="n"/>
      <c r="M150" s="7" t="n"/>
    </row>
    <row r="151">
      <c r="A151" s="7" t="n"/>
      <c r="B151" s="12">
        <f>IFERROR(INDEX(Produkte!$B$2:$B$301,MATCH(A151,Produkte!$A$2:$A$301,0)),"")</f>
        <v/>
      </c>
      <c r="C151" s="7" t="n"/>
      <c r="D151" s="7" t="n"/>
      <c r="E151" s="16" t="n"/>
      <c r="F151" s="8" t="n"/>
      <c r="G151" s="15">
        <f>IF(E151="","",ROUND(E151*(1+F151),2))</f>
        <v/>
      </c>
      <c r="H151" s="15">
        <f>IF(OR(E151="",C151=""),"",ROUND(G151/(C151/1000),2))</f>
        <v/>
      </c>
      <c r="I151" s="7" t="n"/>
      <c r="J151" s="7" t="n"/>
      <c r="K151" s="7" t="n"/>
      <c r="L151" s="7" t="n"/>
      <c r="M151" s="7" t="n"/>
    </row>
    <row r="152">
      <c r="A152" s="7" t="n"/>
      <c r="B152" s="12">
        <f>IFERROR(INDEX(Produkte!$B$2:$B$301,MATCH(A152,Produkte!$A$2:$A$301,0)),"")</f>
        <v/>
      </c>
      <c r="C152" s="7" t="n"/>
      <c r="D152" s="7" t="n"/>
      <c r="E152" s="16" t="n"/>
      <c r="F152" s="8" t="n"/>
      <c r="G152" s="15">
        <f>IF(E152="","",ROUND(E152*(1+F152),2))</f>
        <v/>
      </c>
      <c r="H152" s="15">
        <f>IF(OR(E152="",C152=""),"",ROUND(G152/(C152/1000),2))</f>
        <v/>
      </c>
      <c r="I152" s="7" t="n"/>
      <c r="J152" s="7" t="n"/>
      <c r="K152" s="7" t="n"/>
      <c r="L152" s="7" t="n"/>
      <c r="M152" s="7" t="n"/>
    </row>
    <row r="153">
      <c r="A153" s="7" t="n"/>
      <c r="B153" s="12">
        <f>IFERROR(INDEX(Produkte!$B$2:$B$301,MATCH(A153,Produkte!$A$2:$A$301,0)),"")</f>
        <v/>
      </c>
      <c r="C153" s="7" t="n"/>
      <c r="D153" s="7" t="n"/>
      <c r="E153" s="16" t="n"/>
      <c r="F153" s="8" t="n"/>
      <c r="G153" s="15">
        <f>IF(E153="","",ROUND(E153*(1+F153),2))</f>
        <v/>
      </c>
      <c r="H153" s="15">
        <f>IF(OR(E153="",C153=""),"",ROUND(G153/(C153/1000),2))</f>
        <v/>
      </c>
      <c r="I153" s="7" t="n"/>
      <c r="J153" s="7" t="n"/>
      <c r="K153" s="7" t="n"/>
      <c r="L153" s="7" t="n"/>
      <c r="M153" s="7" t="n"/>
    </row>
    <row r="154">
      <c r="A154" s="7" t="n"/>
      <c r="B154" s="12">
        <f>IFERROR(INDEX(Produkte!$B$2:$B$301,MATCH(A154,Produkte!$A$2:$A$301,0)),"")</f>
        <v/>
      </c>
      <c r="C154" s="7" t="n"/>
      <c r="D154" s="7" t="n"/>
      <c r="E154" s="16" t="n"/>
      <c r="F154" s="8" t="n"/>
      <c r="G154" s="15">
        <f>IF(E154="","",ROUND(E154*(1+F154),2))</f>
        <v/>
      </c>
      <c r="H154" s="15">
        <f>IF(OR(E154="",C154=""),"",ROUND(G154/(C154/1000),2))</f>
        <v/>
      </c>
      <c r="I154" s="7" t="n"/>
      <c r="J154" s="7" t="n"/>
      <c r="K154" s="7" t="n"/>
      <c r="L154" s="7" t="n"/>
      <c r="M154" s="7" t="n"/>
    </row>
    <row r="155">
      <c r="A155" s="7" t="n"/>
      <c r="B155" s="12">
        <f>IFERROR(INDEX(Produkte!$B$2:$B$301,MATCH(A155,Produkte!$A$2:$A$301,0)),"")</f>
        <v/>
      </c>
      <c r="C155" s="7" t="n"/>
      <c r="D155" s="7" t="n"/>
      <c r="E155" s="16" t="n"/>
      <c r="F155" s="8" t="n"/>
      <c r="G155" s="15">
        <f>IF(E155="","",ROUND(E155*(1+F155),2))</f>
        <v/>
      </c>
      <c r="H155" s="15">
        <f>IF(OR(E155="",C155=""),"",ROUND(G155/(C155/1000),2))</f>
        <v/>
      </c>
      <c r="I155" s="7" t="n"/>
      <c r="J155" s="7" t="n"/>
      <c r="K155" s="7" t="n"/>
      <c r="L155" s="7" t="n"/>
      <c r="M155" s="7" t="n"/>
    </row>
    <row r="156">
      <c r="A156" s="7" t="n"/>
      <c r="B156" s="12">
        <f>IFERROR(INDEX(Produkte!$B$2:$B$301,MATCH(A156,Produkte!$A$2:$A$301,0)),"")</f>
        <v/>
      </c>
      <c r="C156" s="7" t="n"/>
      <c r="D156" s="7" t="n"/>
      <c r="E156" s="16" t="n"/>
      <c r="F156" s="8" t="n"/>
      <c r="G156" s="15">
        <f>IF(E156="","",ROUND(E156*(1+F156),2))</f>
        <v/>
      </c>
      <c r="H156" s="15">
        <f>IF(OR(E156="",C156=""),"",ROUND(G156/(C156/1000),2))</f>
        <v/>
      </c>
      <c r="I156" s="7" t="n"/>
      <c r="J156" s="7" t="n"/>
      <c r="K156" s="7" t="n"/>
      <c r="L156" s="7" t="n"/>
      <c r="M156" s="7" t="n"/>
    </row>
    <row r="157">
      <c r="A157" s="7" t="n"/>
      <c r="B157" s="12">
        <f>IFERROR(INDEX(Produkte!$B$2:$B$301,MATCH(A157,Produkte!$A$2:$A$301,0)),"")</f>
        <v/>
      </c>
      <c r="C157" s="7" t="n"/>
      <c r="D157" s="7" t="n"/>
      <c r="E157" s="16" t="n"/>
      <c r="F157" s="8" t="n"/>
      <c r="G157" s="15">
        <f>IF(E157="","",ROUND(E157*(1+F157),2))</f>
        <v/>
      </c>
      <c r="H157" s="15">
        <f>IF(OR(E157="",C157=""),"",ROUND(G157/(C157/1000),2))</f>
        <v/>
      </c>
      <c r="I157" s="7" t="n"/>
      <c r="J157" s="7" t="n"/>
      <c r="K157" s="7" t="n"/>
      <c r="L157" s="7" t="n"/>
      <c r="M157" s="7" t="n"/>
    </row>
    <row r="158">
      <c r="A158" s="7" t="n"/>
      <c r="B158" s="12">
        <f>IFERROR(INDEX(Produkte!$B$2:$B$301,MATCH(A158,Produkte!$A$2:$A$301,0)),"")</f>
        <v/>
      </c>
      <c r="C158" s="7" t="n"/>
      <c r="D158" s="7" t="n"/>
      <c r="E158" s="16" t="n"/>
      <c r="F158" s="8" t="n"/>
      <c r="G158" s="15">
        <f>IF(E158="","",ROUND(E158*(1+F158),2))</f>
        <v/>
      </c>
      <c r="H158" s="15">
        <f>IF(OR(E158="",C158=""),"",ROUND(G158/(C158/1000),2))</f>
        <v/>
      </c>
      <c r="I158" s="7" t="n"/>
      <c r="J158" s="7" t="n"/>
      <c r="K158" s="7" t="n"/>
      <c r="L158" s="7" t="n"/>
      <c r="M158" s="7" t="n"/>
    </row>
    <row r="159">
      <c r="A159" s="7" t="n"/>
      <c r="B159" s="12">
        <f>IFERROR(INDEX(Produkte!$B$2:$B$301,MATCH(A159,Produkte!$A$2:$A$301,0)),"")</f>
        <v/>
      </c>
      <c r="C159" s="7" t="n"/>
      <c r="D159" s="7" t="n"/>
      <c r="E159" s="16" t="n"/>
      <c r="F159" s="8" t="n"/>
      <c r="G159" s="15">
        <f>IF(E159="","",ROUND(E159*(1+F159),2))</f>
        <v/>
      </c>
      <c r="H159" s="15">
        <f>IF(OR(E159="",C159=""),"",ROUND(G159/(C159/1000),2))</f>
        <v/>
      </c>
      <c r="I159" s="7" t="n"/>
      <c r="J159" s="7" t="n"/>
      <c r="K159" s="7" t="n"/>
      <c r="L159" s="7" t="n"/>
      <c r="M159" s="7" t="n"/>
    </row>
    <row r="160">
      <c r="A160" s="7" t="n"/>
      <c r="B160" s="12">
        <f>IFERROR(INDEX(Produkte!$B$2:$B$301,MATCH(A160,Produkte!$A$2:$A$301,0)),"")</f>
        <v/>
      </c>
      <c r="C160" s="7" t="n"/>
      <c r="D160" s="7" t="n"/>
      <c r="E160" s="16" t="n"/>
      <c r="F160" s="8" t="n"/>
      <c r="G160" s="15">
        <f>IF(E160="","",ROUND(E160*(1+F160),2))</f>
        <v/>
      </c>
      <c r="H160" s="15">
        <f>IF(OR(E160="",C160=""),"",ROUND(G160/(C160/1000),2))</f>
        <v/>
      </c>
      <c r="I160" s="7" t="n"/>
      <c r="J160" s="7" t="n"/>
      <c r="K160" s="7" t="n"/>
      <c r="L160" s="7" t="n"/>
      <c r="M160" s="7" t="n"/>
    </row>
    <row r="161">
      <c r="A161" s="7" t="n"/>
      <c r="B161" s="12">
        <f>IFERROR(INDEX(Produkte!$B$2:$B$301,MATCH(A161,Produkte!$A$2:$A$301,0)),"")</f>
        <v/>
      </c>
      <c r="C161" s="7" t="n"/>
      <c r="D161" s="7" t="n"/>
      <c r="E161" s="16" t="n"/>
      <c r="F161" s="8" t="n"/>
      <c r="G161" s="15">
        <f>IF(E161="","",ROUND(E161*(1+F161),2))</f>
        <v/>
      </c>
      <c r="H161" s="15">
        <f>IF(OR(E161="",C161=""),"",ROUND(G161/(C161/1000),2))</f>
        <v/>
      </c>
      <c r="I161" s="7" t="n"/>
      <c r="J161" s="7" t="n"/>
      <c r="K161" s="7" t="n"/>
      <c r="L161" s="7" t="n"/>
      <c r="M161" s="7" t="n"/>
    </row>
    <row r="162">
      <c r="A162" s="7" t="n"/>
      <c r="B162" s="12">
        <f>IFERROR(INDEX(Produkte!$B$2:$B$301,MATCH(A162,Produkte!$A$2:$A$301,0)),"")</f>
        <v/>
      </c>
      <c r="C162" s="7" t="n"/>
      <c r="D162" s="7" t="n"/>
      <c r="E162" s="16" t="n"/>
      <c r="F162" s="8" t="n"/>
      <c r="G162" s="15">
        <f>IF(E162="","",ROUND(E162*(1+F162),2))</f>
        <v/>
      </c>
      <c r="H162" s="15">
        <f>IF(OR(E162="",C162=""),"",ROUND(G162/(C162/1000),2))</f>
        <v/>
      </c>
      <c r="I162" s="7" t="n"/>
      <c r="J162" s="7" t="n"/>
      <c r="K162" s="7" t="n"/>
      <c r="L162" s="7" t="n"/>
      <c r="M162" s="7" t="n"/>
    </row>
    <row r="163">
      <c r="A163" s="7" t="n"/>
      <c r="B163" s="12">
        <f>IFERROR(INDEX(Produkte!$B$2:$B$301,MATCH(A163,Produkte!$A$2:$A$301,0)),"")</f>
        <v/>
      </c>
      <c r="C163" s="7" t="n"/>
      <c r="D163" s="7" t="n"/>
      <c r="E163" s="16" t="n"/>
      <c r="F163" s="8" t="n"/>
      <c r="G163" s="15">
        <f>IF(E163="","",ROUND(E163*(1+F163),2))</f>
        <v/>
      </c>
      <c r="H163" s="15">
        <f>IF(OR(E163="",C163=""),"",ROUND(G163/(C163/1000),2))</f>
        <v/>
      </c>
      <c r="I163" s="7" t="n"/>
      <c r="J163" s="7" t="n"/>
      <c r="K163" s="7" t="n"/>
      <c r="L163" s="7" t="n"/>
      <c r="M163" s="7" t="n"/>
    </row>
    <row r="164">
      <c r="A164" s="7" t="n"/>
      <c r="B164" s="12">
        <f>IFERROR(INDEX(Produkte!$B$2:$B$301,MATCH(A164,Produkte!$A$2:$A$301,0)),"")</f>
        <v/>
      </c>
      <c r="C164" s="7" t="n"/>
      <c r="D164" s="7" t="n"/>
      <c r="E164" s="16" t="n"/>
      <c r="F164" s="8" t="n"/>
      <c r="G164" s="15">
        <f>IF(E164="","",ROUND(E164*(1+F164),2))</f>
        <v/>
      </c>
      <c r="H164" s="15">
        <f>IF(OR(E164="",C164=""),"",ROUND(G164/(C164/1000),2))</f>
        <v/>
      </c>
      <c r="I164" s="7" t="n"/>
      <c r="J164" s="7" t="n"/>
      <c r="K164" s="7" t="n"/>
      <c r="L164" s="7" t="n"/>
      <c r="M164" s="7" t="n"/>
    </row>
    <row r="165">
      <c r="A165" s="7" t="n"/>
      <c r="B165" s="12">
        <f>IFERROR(INDEX(Produkte!$B$2:$B$301,MATCH(A165,Produkte!$A$2:$A$301,0)),"")</f>
        <v/>
      </c>
      <c r="C165" s="7" t="n"/>
      <c r="D165" s="7" t="n"/>
      <c r="E165" s="16" t="n"/>
      <c r="F165" s="8" t="n"/>
      <c r="G165" s="15">
        <f>IF(E165="","",ROUND(E165*(1+F165),2))</f>
        <v/>
      </c>
      <c r="H165" s="15">
        <f>IF(OR(E165="",C165=""),"",ROUND(G165/(C165/1000),2))</f>
        <v/>
      </c>
      <c r="I165" s="7" t="n"/>
      <c r="J165" s="7" t="n"/>
      <c r="K165" s="7" t="n"/>
      <c r="L165" s="7" t="n"/>
      <c r="M165" s="7" t="n"/>
    </row>
    <row r="166">
      <c r="A166" s="7" t="n"/>
      <c r="B166" s="12">
        <f>IFERROR(INDEX(Produkte!$B$2:$B$301,MATCH(A166,Produkte!$A$2:$A$301,0)),"")</f>
        <v/>
      </c>
      <c r="C166" s="7" t="n"/>
      <c r="D166" s="7" t="n"/>
      <c r="E166" s="16" t="n"/>
      <c r="F166" s="8" t="n"/>
      <c r="G166" s="15">
        <f>IF(E166="","",ROUND(E166*(1+F166),2))</f>
        <v/>
      </c>
      <c r="H166" s="15">
        <f>IF(OR(E166="",C166=""),"",ROUND(G166/(C166/1000),2))</f>
        <v/>
      </c>
      <c r="I166" s="7" t="n"/>
      <c r="J166" s="7" t="n"/>
      <c r="K166" s="7" t="n"/>
      <c r="L166" s="7" t="n"/>
      <c r="M166" s="7" t="n"/>
    </row>
    <row r="167">
      <c r="A167" s="7" t="n"/>
      <c r="B167" s="12">
        <f>IFERROR(INDEX(Produkte!$B$2:$B$301,MATCH(A167,Produkte!$A$2:$A$301,0)),"")</f>
        <v/>
      </c>
      <c r="C167" s="7" t="n"/>
      <c r="D167" s="7" t="n"/>
      <c r="E167" s="16" t="n"/>
      <c r="F167" s="8" t="n"/>
      <c r="G167" s="15">
        <f>IF(E167="","",ROUND(E167*(1+F167),2))</f>
        <v/>
      </c>
      <c r="H167" s="15">
        <f>IF(OR(E167="",C167=""),"",ROUND(G167/(C167/1000),2))</f>
        <v/>
      </c>
      <c r="I167" s="7" t="n"/>
      <c r="J167" s="7" t="n"/>
      <c r="K167" s="7" t="n"/>
      <c r="L167" s="7" t="n"/>
      <c r="M167" s="7" t="n"/>
    </row>
    <row r="168">
      <c r="A168" s="7" t="n"/>
      <c r="B168" s="12">
        <f>IFERROR(INDEX(Produkte!$B$2:$B$301,MATCH(A168,Produkte!$A$2:$A$301,0)),"")</f>
        <v/>
      </c>
      <c r="C168" s="7" t="n"/>
      <c r="D168" s="7" t="n"/>
      <c r="E168" s="16" t="n"/>
      <c r="F168" s="8" t="n"/>
      <c r="G168" s="15">
        <f>IF(E168="","",ROUND(E168*(1+F168),2))</f>
        <v/>
      </c>
      <c r="H168" s="15">
        <f>IF(OR(E168="",C168=""),"",ROUND(G168/(C168/1000),2))</f>
        <v/>
      </c>
      <c r="I168" s="7" t="n"/>
      <c r="J168" s="7" t="n"/>
      <c r="K168" s="7" t="n"/>
      <c r="L168" s="7" t="n"/>
      <c r="M168" s="7" t="n"/>
    </row>
    <row r="169">
      <c r="A169" s="7" t="n"/>
      <c r="B169" s="12">
        <f>IFERROR(INDEX(Produkte!$B$2:$B$301,MATCH(A169,Produkte!$A$2:$A$301,0)),"")</f>
        <v/>
      </c>
      <c r="C169" s="7" t="n"/>
      <c r="D169" s="7" t="n"/>
      <c r="E169" s="16" t="n"/>
      <c r="F169" s="8" t="n"/>
      <c r="G169" s="15">
        <f>IF(E169="","",ROUND(E169*(1+F169),2))</f>
        <v/>
      </c>
      <c r="H169" s="15">
        <f>IF(OR(E169="",C169=""),"",ROUND(G169/(C169/1000),2))</f>
        <v/>
      </c>
      <c r="I169" s="7" t="n"/>
      <c r="J169" s="7" t="n"/>
      <c r="K169" s="7" t="n"/>
      <c r="L169" s="7" t="n"/>
      <c r="M169" s="7" t="n"/>
    </row>
    <row r="170">
      <c r="A170" s="7" t="n"/>
      <c r="B170" s="12">
        <f>IFERROR(INDEX(Produkte!$B$2:$B$301,MATCH(A170,Produkte!$A$2:$A$301,0)),"")</f>
        <v/>
      </c>
      <c r="C170" s="7" t="n"/>
      <c r="D170" s="7" t="n"/>
      <c r="E170" s="16" t="n"/>
      <c r="F170" s="8" t="n"/>
      <c r="G170" s="15">
        <f>IF(E170="","",ROUND(E170*(1+F170),2))</f>
        <v/>
      </c>
      <c r="H170" s="15">
        <f>IF(OR(E170="",C170=""),"",ROUND(G170/(C170/1000),2))</f>
        <v/>
      </c>
      <c r="I170" s="7" t="n"/>
      <c r="J170" s="7" t="n"/>
      <c r="K170" s="7" t="n"/>
      <c r="L170" s="7" t="n"/>
      <c r="M170" s="7" t="n"/>
    </row>
    <row r="171">
      <c r="A171" s="7" t="n"/>
      <c r="B171" s="12">
        <f>IFERROR(INDEX(Produkte!$B$2:$B$301,MATCH(A171,Produkte!$A$2:$A$301,0)),"")</f>
        <v/>
      </c>
      <c r="C171" s="7" t="n"/>
      <c r="D171" s="7" t="n"/>
      <c r="E171" s="16" t="n"/>
      <c r="F171" s="8" t="n"/>
      <c r="G171" s="15">
        <f>IF(E171="","",ROUND(E171*(1+F171),2))</f>
        <v/>
      </c>
      <c r="H171" s="15">
        <f>IF(OR(E171="",C171=""),"",ROUND(G171/(C171/1000),2))</f>
        <v/>
      </c>
      <c r="I171" s="7" t="n"/>
      <c r="J171" s="7" t="n"/>
      <c r="K171" s="7" t="n"/>
      <c r="L171" s="7" t="n"/>
      <c r="M171" s="7" t="n"/>
    </row>
    <row r="172">
      <c r="A172" s="7" t="n"/>
      <c r="B172" s="12">
        <f>IFERROR(INDEX(Produkte!$B$2:$B$301,MATCH(A172,Produkte!$A$2:$A$301,0)),"")</f>
        <v/>
      </c>
      <c r="C172" s="7" t="n"/>
      <c r="D172" s="7" t="n"/>
      <c r="E172" s="16" t="n"/>
      <c r="F172" s="8" t="n"/>
      <c r="G172" s="15">
        <f>IF(E172="","",ROUND(E172*(1+F172),2))</f>
        <v/>
      </c>
      <c r="H172" s="15">
        <f>IF(OR(E172="",C172=""),"",ROUND(G172/(C172/1000),2))</f>
        <v/>
      </c>
      <c r="I172" s="7" t="n"/>
      <c r="J172" s="7" t="n"/>
      <c r="K172" s="7" t="n"/>
      <c r="L172" s="7" t="n"/>
      <c r="M172" s="7" t="n"/>
    </row>
    <row r="173">
      <c r="A173" s="7" t="n"/>
      <c r="B173" s="12">
        <f>IFERROR(INDEX(Produkte!$B$2:$B$301,MATCH(A173,Produkte!$A$2:$A$301,0)),"")</f>
        <v/>
      </c>
      <c r="C173" s="7" t="n"/>
      <c r="D173" s="7" t="n"/>
      <c r="E173" s="16" t="n"/>
      <c r="F173" s="8" t="n"/>
      <c r="G173" s="15">
        <f>IF(E173="","",ROUND(E173*(1+F173),2))</f>
        <v/>
      </c>
      <c r="H173" s="15">
        <f>IF(OR(E173="",C173=""),"",ROUND(G173/(C173/1000),2))</f>
        <v/>
      </c>
      <c r="I173" s="7" t="n"/>
      <c r="J173" s="7" t="n"/>
      <c r="K173" s="7" t="n"/>
      <c r="L173" s="7" t="n"/>
      <c r="M173" s="7" t="n"/>
    </row>
    <row r="174">
      <c r="A174" s="7" t="n"/>
      <c r="B174" s="12">
        <f>IFERROR(INDEX(Produkte!$B$2:$B$301,MATCH(A174,Produkte!$A$2:$A$301,0)),"")</f>
        <v/>
      </c>
      <c r="C174" s="7" t="n"/>
      <c r="D174" s="7" t="n"/>
      <c r="E174" s="16" t="n"/>
      <c r="F174" s="8" t="n"/>
      <c r="G174" s="15">
        <f>IF(E174="","",ROUND(E174*(1+F174),2))</f>
        <v/>
      </c>
      <c r="H174" s="15">
        <f>IF(OR(E174="",C174=""),"",ROUND(G174/(C174/1000),2))</f>
        <v/>
      </c>
      <c r="I174" s="7" t="n"/>
      <c r="J174" s="7" t="n"/>
      <c r="K174" s="7" t="n"/>
      <c r="L174" s="7" t="n"/>
      <c r="M174" s="7" t="n"/>
    </row>
    <row r="175">
      <c r="A175" s="7" t="n"/>
      <c r="B175" s="12">
        <f>IFERROR(INDEX(Produkte!$B$2:$B$301,MATCH(A175,Produkte!$A$2:$A$301,0)),"")</f>
        <v/>
      </c>
      <c r="C175" s="7" t="n"/>
      <c r="D175" s="7" t="n"/>
      <c r="E175" s="16" t="n"/>
      <c r="F175" s="8" t="n"/>
      <c r="G175" s="15">
        <f>IF(E175="","",ROUND(E175*(1+F175),2))</f>
        <v/>
      </c>
      <c r="H175" s="15">
        <f>IF(OR(E175="",C175=""),"",ROUND(G175/(C175/1000),2))</f>
        <v/>
      </c>
      <c r="I175" s="7" t="n"/>
      <c r="J175" s="7" t="n"/>
      <c r="K175" s="7" t="n"/>
      <c r="L175" s="7" t="n"/>
      <c r="M175" s="7" t="n"/>
    </row>
    <row r="176">
      <c r="A176" s="7" t="n"/>
      <c r="B176" s="12">
        <f>IFERROR(INDEX(Produkte!$B$2:$B$301,MATCH(A176,Produkte!$A$2:$A$301,0)),"")</f>
        <v/>
      </c>
      <c r="C176" s="7" t="n"/>
      <c r="D176" s="7" t="n"/>
      <c r="E176" s="16" t="n"/>
      <c r="F176" s="8" t="n"/>
      <c r="G176" s="15">
        <f>IF(E176="","",ROUND(E176*(1+F176),2))</f>
        <v/>
      </c>
      <c r="H176" s="15">
        <f>IF(OR(E176="",C176=""),"",ROUND(G176/(C176/1000),2))</f>
        <v/>
      </c>
      <c r="I176" s="7" t="n"/>
      <c r="J176" s="7" t="n"/>
      <c r="K176" s="7" t="n"/>
      <c r="L176" s="7" t="n"/>
      <c r="M176" s="7" t="n"/>
    </row>
    <row r="177">
      <c r="A177" s="7" t="n"/>
      <c r="B177" s="12">
        <f>IFERROR(INDEX(Produkte!$B$2:$B$301,MATCH(A177,Produkte!$A$2:$A$301,0)),"")</f>
        <v/>
      </c>
      <c r="C177" s="7" t="n"/>
      <c r="D177" s="7" t="n"/>
      <c r="E177" s="16" t="n"/>
      <c r="F177" s="8" t="n"/>
      <c r="G177" s="15">
        <f>IF(E177="","",ROUND(E177*(1+F177),2))</f>
        <v/>
      </c>
      <c r="H177" s="15">
        <f>IF(OR(E177="",C177=""),"",ROUND(G177/(C177/1000),2))</f>
        <v/>
      </c>
      <c r="I177" s="7" t="n"/>
      <c r="J177" s="7" t="n"/>
      <c r="K177" s="7" t="n"/>
      <c r="L177" s="7" t="n"/>
      <c r="M177" s="7" t="n"/>
    </row>
    <row r="178">
      <c r="A178" s="7" t="n"/>
      <c r="B178" s="12">
        <f>IFERROR(INDEX(Produkte!$B$2:$B$301,MATCH(A178,Produkte!$A$2:$A$301,0)),"")</f>
        <v/>
      </c>
      <c r="C178" s="7" t="n"/>
      <c r="D178" s="7" t="n"/>
      <c r="E178" s="16" t="n"/>
      <c r="F178" s="8" t="n"/>
      <c r="G178" s="15">
        <f>IF(E178="","",ROUND(E178*(1+F178),2))</f>
        <v/>
      </c>
      <c r="H178" s="15">
        <f>IF(OR(E178="",C178=""),"",ROUND(G178/(C178/1000),2))</f>
        <v/>
      </c>
      <c r="I178" s="7" t="n"/>
      <c r="J178" s="7" t="n"/>
      <c r="K178" s="7" t="n"/>
      <c r="L178" s="7" t="n"/>
      <c r="M178" s="7" t="n"/>
    </row>
    <row r="179">
      <c r="A179" s="7" t="n"/>
      <c r="B179" s="12">
        <f>IFERROR(INDEX(Produkte!$B$2:$B$301,MATCH(A179,Produkte!$A$2:$A$301,0)),"")</f>
        <v/>
      </c>
      <c r="C179" s="7" t="n"/>
      <c r="D179" s="7" t="n"/>
      <c r="E179" s="16" t="n"/>
      <c r="F179" s="8" t="n"/>
      <c r="G179" s="15">
        <f>IF(E179="","",ROUND(E179*(1+F179),2))</f>
        <v/>
      </c>
      <c r="H179" s="15">
        <f>IF(OR(E179="",C179=""),"",ROUND(G179/(C179/1000),2))</f>
        <v/>
      </c>
      <c r="I179" s="7" t="n"/>
      <c r="J179" s="7" t="n"/>
      <c r="K179" s="7" t="n"/>
      <c r="L179" s="7" t="n"/>
      <c r="M179" s="7" t="n"/>
    </row>
    <row r="180">
      <c r="A180" s="7" t="n"/>
      <c r="B180" s="12">
        <f>IFERROR(INDEX(Produkte!$B$2:$B$301,MATCH(A180,Produkte!$A$2:$A$301,0)),"")</f>
        <v/>
      </c>
      <c r="C180" s="7" t="n"/>
      <c r="D180" s="7" t="n"/>
      <c r="E180" s="16" t="n"/>
      <c r="F180" s="8" t="n"/>
      <c r="G180" s="15">
        <f>IF(E180="","",ROUND(E180*(1+F180),2))</f>
        <v/>
      </c>
      <c r="H180" s="15">
        <f>IF(OR(E180="",C180=""),"",ROUND(G180/(C180/1000),2))</f>
        <v/>
      </c>
      <c r="I180" s="7" t="n"/>
      <c r="J180" s="7" t="n"/>
      <c r="K180" s="7" t="n"/>
      <c r="L180" s="7" t="n"/>
      <c r="M180" s="7" t="n"/>
    </row>
    <row r="181">
      <c r="A181" s="7" t="n"/>
      <c r="B181" s="12">
        <f>IFERROR(INDEX(Produkte!$B$2:$B$301,MATCH(A181,Produkte!$A$2:$A$301,0)),"")</f>
        <v/>
      </c>
      <c r="C181" s="7" t="n"/>
      <c r="D181" s="7" t="n"/>
      <c r="E181" s="16" t="n"/>
      <c r="F181" s="8" t="n"/>
      <c r="G181" s="15">
        <f>IF(E181="","",ROUND(E181*(1+F181),2))</f>
        <v/>
      </c>
      <c r="H181" s="15">
        <f>IF(OR(E181="",C181=""),"",ROUND(G181/(C181/1000),2))</f>
        <v/>
      </c>
      <c r="I181" s="7" t="n"/>
      <c r="J181" s="7" t="n"/>
      <c r="K181" s="7" t="n"/>
      <c r="L181" s="7" t="n"/>
      <c r="M181" s="7" t="n"/>
    </row>
    <row r="182">
      <c r="A182" s="7" t="n"/>
      <c r="B182" s="12">
        <f>IFERROR(INDEX(Produkte!$B$2:$B$301,MATCH(A182,Produkte!$A$2:$A$301,0)),"")</f>
        <v/>
      </c>
      <c r="C182" s="7" t="n"/>
      <c r="D182" s="7" t="n"/>
      <c r="E182" s="16" t="n"/>
      <c r="F182" s="8" t="n"/>
      <c r="G182" s="15">
        <f>IF(E182="","",ROUND(E182*(1+F182),2))</f>
        <v/>
      </c>
      <c r="H182" s="15">
        <f>IF(OR(E182="",C182=""),"",ROUND(G182/(C182/1000),2))</f>
        <v/>
      </c>
      <c r="I182" s="7" t="n"/>
      <c r="J182" s="7" t="n"/>
      <c r="K182" s="7" t="n"/>
      <c r="L182" s="7" t="n"/>
      <c r="M182" s="7" t="n"/>
    </row>
    <row r="183">
      <c r="A183" s="7" t="n"/>
      <c r="B183" s="12">
        <f>IFERROR(INDEX(Produkte!$B$2:$B$301,MATCH(A183,Produkte!$A$2:$A$301,0)),"")</f>
        <v/>
      </c>
      <c r="C183" s="7" t="n"/>
      <c r="D183" s="7" t="n"/>
      <c r="E183" s="16" t="n"/>
      <c r="F183" s="8" t="n"/>
      <c r="G183" s="15">
        <f>IF(E183="","",ROUND(E183*(1+F183),2))</f>
        <v/>
      </c>
      <c r="H183" s="15">
        <f>IF(OR(E183="",C183=""),"",ROUND(G183/(C183/1000),2))</f>
        <v/>
      </c>
      <c r="I183" s="7" t="n"/>
      <c r="J183" s="7" t="n"/>
      <c r="K183" s="7" t="n"/>
      <c r="L183" s="7" t="n"/>
      <c r="M183" s="7" t="n"/>
    </row>
    <row r="184">
      <c r="A184" s="7" t="n"/>
      <c r="B184" s="12">
        <f>IFERROR(INDEX(Produkte!$B$2:$B$301,MATCH(A184,Produkte!$A$2:$A$301,0)),"")</f>
        <v/>
      </c>
      <c r="C184" s="7" t="n"/>
      <c r="D184" s="7" t="n"/>
      <c r="E184" s="16" t="n"/>
      <c r="F184" s="8" t="n"/>
      <c r="G184" s="15">
        <f>IF(E184="","",ROUND(E184*(1+F184),2))</f>
        <v/>
      </c>
      <c r="H184" s="15">
        <f>IF(OR(E184="",C184=""),"",ROUND(G184/(C184/1000),2))</f>
        <v/>
      </c>
      <c r="I184" s="7" t="n"/>
      <c r="J184" s="7" t="n"/>
      <c r="K184" s="7" t="n"/>
      <c r="L184" s="7" t="n"/>
      <c r="M184" s="7" t="n"/>
    </row>
    <row r="185">
      <c r="A185" s="7" t="n"/>
      <c r="B185" s="12">
        <f>IFERROR(INDEX(Produkte!$B$2:$B$301,MATCH(A185,Produkte!$A$2:$A$301,0)),"")</f>
        <v/>
      </c>
      <c r="C185" s="7" t="n"/>
      <c r="D185" s="7" t="n"/>
      <c r="E185" s="16" t="n"/>
      <c r="F185" s="8" t="n"/>
      <c r="G185" s="15">
        <f>IF(E185="","",ROUND(E185*(1+F185),2))</f>
        <v/>
      </c>
      <c r="H185" s="15">
        <f>IF(OR(E185="",C185=""),"",ROUND(G185/(C185/1000),2))</f>
        <v/>
      </c>
      <c r="I185" s="7" t="n"/>
      <c r="J185" s="7" t="n"/>
      <c r="K185" s="7" t="n"/>
      <c r="L185" s="7" t="n"/>
      <c r="M185" s="7" t="n"/>
    </row>
    <row r="186">
      <c r="A186" s="7" t="n"/>
      <c r="B186" s="12">
        <f>IFERROR(INDEX(Produkte!$B$2:$B$301,MATCH(A186,Produkte!$A$2:$A$301,0)),"")</f>
        <v/>
      </c>
      <c r="C186" s="7" t="n"/>
      <c r="D186" s="7" t="n"/>
      <c r="E186" s="16" t="n"/>
      <c r="F186" s="8" t="n"/>
      <c r="G186" s="15">
        <f>IF(E186="","",ROUND(E186*(1+F186),2))</f>
        <v/>
      </c>
      <c r="H186" s="15">
        <f>IF(OR(E186="",C186=""),"",ROUND(G186/(C186/1000),2))</f>
        <v/>
      </c>
      <c r="I186" s="7" t="n"/>
      <c r="J186" s="7" t="n"/>
      <c r="K186" s="7" t="n"/>
      <c r="L186" s="7" t="n"/>
      <c r="M186" s="7" t="n"/>
    </row>
    <row r="187">
      <c r="A187" s="7" t="n"/>
      <c r="B187" s="12">
        <f>IFERROR(INDEX(Produkte!$B$2:$B$301,MATCH(A187,Produkte!$A$2:$A$301,0)),"")</f>
        <v/>
      </c>
      <c r="C187" s="7" t="n"/>
      <c r="D187" s="7" t="n"/>
      <c r="E187" s="16" t="n"/>
      <c r="F187" s="8" t="n"/>
      <c r="G187" s="15">
        <f>IF(E187="","",ROUND(E187*(1+F187),2))</f>
        <v/>
      </c>
      <c r="H187" s="15">
        <f>IF(OR(E187="",C187=""),"",ROUND(G187/(C187/1000),2))</f>
        <v/>
      </c>
      <c r="I187" s="7" t="n"/>
      <c r="J187" s="7" t="n"/>
      <c r="K187" s="7" t="n"/>
      <c r="L187" s="7" t="n"/>
      <c r="M187" s="7" t="n"/>
    </row>
    <row r="188">
      <c r="A188" s="7" t="n"/>
      <c r="B188" s="12">
        <f>IFERROR(INDEX(Produkte!$B$2:$B$301,MATCH(A188,Produkte!$A$2:$A$301,0)),"")</f>
        <v/>
      </c>
      <c r="C188" s="7" t="n"/>
      <c r="D188" s="7" t="n"/>
      <c r="E188" s="16" t="n"/>
      <c r="F188" s="8" t="n"/>
      <c r="G188" s="15">
        <f>IF(E188="","",ROUND(E188*(1+F188),2))</f>
        <v/>
      </c>
      <c r="H188" s="15">
        <f>IF(OR(E188="",C188=""),"",ROUND(G188/(C188/1000),2))</f>
        <v/>
      </c>
      <c r="I188" s="7" t="n"/>
      <c r="J188" s="7" t="n"/>
      <c r="K188" s="7" t="n"/>
      <c r="L188" s="7" t="n"/>
      <c r="M188" s="7" t="n"/>
    </row>
    <row r="189">
      <c r="A189" s="7" t="n"/>
      <c r="B189" s="12">
        <f>IFERROR(INDEX(Produkte!$B$2:$B$301,MATCH(A189,Produkte!$A$2:$A$301,0)),"")</f>
        <v/>
      </c>
      <c r="C189" s="7" t="n"/>
      <c r="D189" s="7" t="n"/>
      <c r="E189" s="16" t="n"/>
      <c r="F189" s="8" t="n"/>
      <c r="G189" s="15">
        <f>IF(E189="","",ROUND(E189*(1+F189),2))</f>
        <v/>
      </c>
      <c r="H189" s="15">
        <f>IF(OR(E189="",C189=""),"",ROUND(G189/(C189/1000),2))</f>
        <v/>
      </c>
      <c r="I189" s="7" t="n"/>
      <c r="J189" s="7" t="n"/>
      <c r="K189" s="7" t="n"/>
      <c r="L189" s="7" t="n"/>
      <c r="M189" s="7" t="n"/>
    </row>
    <row r="190">
      <c r="A190" s="7" t="n"/>
      <c r="B190" s="12">
        <f>IFERROR(INDEX(Produkte!$B$2:$B$301,MATCH(A190,Produkte!$A$2:$A$301,0)),"")</f>
        <v/>
      </c>
      <c r="C190" s="7" t="n"/>
      <c r="D190" s="7" t="n"/>
      <c r="E190" s="16" t="n"/>
      <c r="F190" s="8" t="n"/>
      <c r="G190" s="15">
        <f>IF(E190="","",ROUND(E190*(1+F190),2))</f>
        <v/>
      </c>
      <c r="H190" s="15">
        <f>IF(OR(E190="",C190=""),"",ROUND(G190/(C190/1000),2))</f>
        <v/>
      </c>
      <c r="I190" s="7" t="n"/>
      <c r="J190" s="7" t="n"/>
      <c r="K190" s="7" t="n"/>
      <c r="L190" s="7" t="n"/>
      <c r="M190" s="7" t="n"/>
    </row>
    <row r="191">
      <c r="A191" s="7" t="n"/>
      <c r="B191" s="12">
        <f>IFERROR(INDEX(Produkte!$B$2:$B$301,MATCH(A191,Produkte!$A$2:$A$301,0)),"")</f>
        <v/>
      </c>
      <c r="C191" s="7" t="n"/>
      <c r="D191" s="7" t="n"/>
      <c r="E191" s="16" t="n"/>
      <c r="F191" s="8" t="n"/>
      <c r="G191" s="15">
        <f>IF(E191="","",ROUND(E191*(1+F191),2))</f>
        <v/>
      </c>
      <c r="H191" s="15">
        <f>IF(OR(E191="",C191=""),"",ROUND(G191/(C191/1000),2))</f>
        <v/>
      </c>
      <c r="I191" s="7" t="n"/>
      <c r="J191" s="7" t="n"/>
      <c r="K191" s="7" t="n"/>
      <c r="L191" s="7" t="n"/>
      <c r="M191" s="7" t="n"/>
    </row>
    <row r="192">
      <c r="A192" s="7" t="n"/>
      <c r="B192" s="12">
        <f>IFERROR(INDEX(Produkte!$B$2:$B$301,MATCH(A192,Produkte!$A$2:$A$301,0)),"")</f>
        <v/>
      </c>
      <c r="C192" s="7" t="n"/>
      <c r="D192" s="7" t="n"/>
      <c r="E192" s="16" t="n"/>
      <c r="F192" s="8" t="n"/>
      <c r="G192" s="15">
        <f>IF(E192="","",ROUND(E192*(1+F192),2))</f>
        <v/>
      </c>
      <c r="H192" s="15">
        <f>IF(OR(E192="",C192=""),"",ROUND(G192/(C192/1000),2))</f>
        <v/>
      </c>
      <c r="I192" s="7" t="n"/>
      <c r="J192" s="7" t="n"/>
      <c r="K192" s="7" t="n"/>
      <c r="L192" s="7" t="n"/>
      <c r="M192" s="7" t="n"/>
    </row>
    <row r="193">
      <c r="A193" s="7" t="n"/>
      <c r="B193" s="12">
        <f>IFERROR(INDEX(Produkte!$B$2:$B$301,MATCH(A193,Produkte!$A$2:$A$301,0)),"")</f>
        <v/>
      </c>
      <c r="C193" s="7" t="n"/>
      <c r="D193" s="7" t="n"/>
      <c r="E193" s="16" t="n"/>
      <c r="F193" s="8" t="n"/>
      <c r="G193" s="15">
        <f>IF(E193="","",ROUND(E193*(1+F193),2))</f>
        <v/>
      </c>
      <c r="H193" s="15">
        <f>IF(OR(E193="",C193=""),"",ROUND(G193/(C193/1000),2))</f>
        <v/>
      </c>
      <c r="I193" s="7" t="n"/>
      <c r="J193" s="7" t="n"/>
      <c r="K193" s="7" t="n"/>
      <c r="L193" s="7" t="n"/>
      <c r="M193" s="7" t="n"/>
    </row>
    <row r="194">
      <c r="A194" s="7" t="n"/>
      <c r="B194" s="12">
        <f>IFERROR(INDEX(Produkte!$B$2:$B$301,MATCH(A194,Produkte!$A$2:$A$301,0)),"")</f>
        <v/>
      </c>
      <c r="C194" s="7" t="n"/>
      <c r="D194" s="7" t="n"/>
      <c r="E194" s="16" t="n"/>
      <c r="F194" s="8" t="n"/>
      <c r="G194" s="15">
        <f>IF(E194="","",ROUND(E194*(1+F194),2))</f>
        <v/>
      </c>
      <c r="H194" s="15">
        <f>IF(OR(E194="",C194=""),"",ROUND(G194/(C194/1000),2))</f>
        <v/>
      </c>
      <c r="I194" s="7" t="n"/>
      <c r="J194" s="7" t="n"/>
      <c r="K194" s="7" t="n"/>
      <c r="L194" s="7" t="n"/>
      <c r="M194" s="7" t="n"/>
    </row>
    <row r="195">
      <c r="A195" s="7" t="n"/>
      <c r="B195" s="12">
        <f>IFERROR(INDEX(Produkte!$B$2:$B$301,MATCH(A195,Produkte!$A$2:$A$301,0)),"")</f>
        <v/>
      </c>
      <c r="C195" s="7" t="n"/>
      <c r="D195" s="7" t="n"/>
      <c r="E195" s="16" t="n"/>
      <c r="F195" s="8" t="n"/>
      <c r="G195" s="15">
        <f>IF(E195="","",ROUND(E195*(1+F195),2))</f>
        <v/>
      </c>
      <c r="H195" s="15">
        <f>IF(OR(E195="",C195=""),"",ROUND(G195/(C195/1000),2))</f>
        <v/>
      </c>
      <c r="I195" s="7" t="n"/>
      <c r="J195" s="7" t="n"/>
      <c r="K195" s="7" t="n"/>
      <c r="L195" s="7" t="n"/>
      <c r="M195" s="7" t="n"/>
    </row>
    <row r="196">
      <c r="A196" s="7" t="n"/>
      <c r="B196" s="12">
        <f>IFERROR(INDEX(Produkte!$B$2:$B$301,MATCH(A196,Produkte!$A$2:$A$301,0)),"")</f>
        <v/>
      </c>
      <c r="C196" s="7" t="n"/>
      <c r="D196" s="7" t="n"/>
      <c r="E196" s="16" t="n"/>
      <c r="F196" s="8" t="n"/>
      <c r="G196" s="15">
        <f>IF(E196="","",ROUND(E196*(1+F196),2))</f>
        <v/>
      </c>
      <c r="H196" s="15">
        <f>IF(OR(E196="",C196=""),"",ROUND(G196/(C196/1000),2))</f>
        <v/>
      </c>
      <c r="I196" s="7" t="n"/>
      <c r="J196" s="7" t="n"/>
      <c r="K196" s="7" t="n"/>
      <c r="L196" s="7" t="n"/>
      <c r="M196" s="7" t="n"/>
    </row>
    <row r="197">
      <c r="A197" s="7" t="n"/>
      <c r="B197" s="12">
        <f>IFERROR(INDEX(Produkte!$B$2:$B$301,MATCH(A197,Produkte!$A$2:$A$301,0)),"")</f>
        <v/>
      </c>
      <c r="C197" s="7" t="n"/>
      <c r="D197" s="7" t="n"/>
      <c r="E197" s="16" t="n"/>
      <c r="F197" s="8" t="n"/>
      <c r="G197" s="15">
        <f>IF(E197="","",ROUND(E197*(1+F197),2))</f>
        <v/>
      </c>
      <c r="H197" s="15">
        <f>IF(OR(E197="",C197=""),"",ROUND(G197/(C197/1000),2))</f>
        <v/>
      </c>
      <c r="I197" s="7" t="n"/>
      <c r="J197" s="7" t="n"/>
      <c r="K197" s="7" t="n"/>
      <c r="L197" s="7" t="n"/>
      <c r="M197" s="7" t="n"/>
    </row>
    <row r="198">
      <c r="A198" s="7" t="n"/>
      <c r="B198" s="12">
        <f>IFERROR(INDEX(Produkte!$B$2:$B$301,MATCH(A198,Produkte!$A$2:$A$301,0)),"")</f>
        <v/>
      </c>
      <c r="C198" s="7" t="n"/>
      <c r="D198" s="7" t="n"/>
      <c r="E198" s="16" t="n"/>
      <c r="F198" s="8" t="n"/>
      <c r="G198" s="15">
        <f>IF(E198="","",ROUND(E198*(1+F198),2))</f>
        <v/>
      </c>
      <c r="H198" s="15">
        <f>IF(OR(E198="",C198=""),"",ROUND(G198/(C198/1000),2))</f>
        <v/>
      </c>
      <c r="I198" s="7" t="n"/>
      <c r="J198" s="7" t="n"/>
      <c r="K198" s="7" t="n"/>
      <c r="L198" s="7" t="n"/>
      <c r="M198" s="7" t="n"/>
    </row>
    <row r="199">
      <c r="A199" s="7" t="n"/>
      <c r="B199" s="12">
        <f>IFERROR(INDEX(Produkte!$B$2:$B$301,MATCH(A199,Produkte!$A$2:$A$301,0)),"")</f>
        <v/>
      </c>
      <c r="C199" s="7" t="n"/>
      <c r="D199" s="7" t="n"/>
      <c r="E199" s="16" t="n"/>
      <c r="F199" s="8" t="n"/>
      <c r="G199" s="15">
        <f>IF(E199="","",ROUND(E199*(1+F199),2))</f>
        <v/>
      </c>
      <c r="H199" s="15">
        <f>IF(OR(E199="",C199=""),"",ROUND(G199/(C199/1000),2))</f>
        <v/>
      </c>
      <c r="I199" s="7" t="n"/>
      <c r="J199" s="7" t="n"/>
      <c r="K199" s="7" t="n"/>
      <c r="L199" s="7" t="n"/>
      <c r="M199" s="7" t="n"/>
    </row>
    <row r="200">
      <c r="A200" s="7" t="n"/>
      <c r="B200" s="12">
        <f>IFERROR(INDEX(Produkte!$B$2:$B$301,MATCH(A200,Produkte!$A$2:$A$301,0)),"")</f>
        <v/>
      </c>
      <c r="C200" s="7" t="n"/>
      <c r="D200" s="7" t="n"/>
      <c r="E200" s="16" t="n"/>
      <c r="F200" s="8" t="n"/>
      <c r="G200" s="15">
        <f>IF(E200="","",ROUND(E200*(1+F200),2))</f>
        <v/>
      </c>
      <c r="H200" s="15">
        <f>IF(OR(E200="",C200=""),"",ROUND(G200/(C200/1000),2))</f>
        <v/>
      </c>
      <c r="I200" s="7" t="n"/>
      <c r="J200" s="7" t="n"/>
      <c r="K200" s="7" t="n"/>
      <c r="L200" s="7" t="n"/>
      <c r="M200" s="7" t="n"/>
    </row>
    <row r="201">
      <c r="A201" s="7" t="n"/>
      <c r="B201" s="12">
        <f>IFERROR(INDEX(Produkte!$B$2:$B$301,MATCH(A201,Produkte!$A$2:$A$301,0)),"")</f>
        <v/>
      </c>
      <c r="C201" s="7" t="n"/>
      <c r="D201" s="7" t="n"/>
      <c r="E201" s="16" t="n"/>
      <c r="F201" s="8" t="n"/>
      <c r="G201" s="15">
        <f>IF(E201="","",ROUND(E201*(1+F201),2))</f>
        <v/>
      </c>
      <c r="H201" s="15">
        <f>IF(OR(E201="",C201=""),"",ROUND(G201/(C201/1000),2))</f>
        <v/>
      </c>
      <c r="I201" s="7" t="n"/>
      <c r="J201" s="7" t="n"/>
      <c r="K201" s="7" t="n"/>
      <c r="L201" s="7" t="n"/>
      <c r="M201" s="7" t="n"/>
    </row>
    <row r="202">
      <c r="A202" s="7" t="n"/>
      <c r="B202" s="12">
        <f>IFERROR(INDEX(Produkte!$B$2:$B$301,MATCH(A202,Produkte!$A$2:$A$301,0)),"")</f>
        <v/>
      </c>
      <c r="C202" s="7" t="n"/>
      <c r="D202" s="7" t="n"/>
      <c r="E202" s="16" t="n"/>
      <c r="F202" s="8" t="n"/>
      <c r="G202" s="15">
        <f>IF(E202="","",ROUND(E202*(1+F202),2))</f>
        <v/>
      </c>
      <c r="H202" s="15">
        <f>IF(OR(E202="",C202=""),"",ROUND(G202/(C202/1000),2))</f>
        <v/>
      </c>
      <c r="I202" s="7" t="n"/>
      <c r="J202" s="7" t="n"/>
      <c r="K202" s="7" t="n"/>
      <c r="L202" s="7" t="n"/>
      <c r="M202" s="7" t="n"/>
    </row>
    <row r="203">
      <c r="A203" s="7" t="n"/>
      <c r="B203" s="12">
        <f>IFERROR(INDEX(Produkte!$B$2:$B$301,MATCH(A203,Produkte!$A$2:$A$301,0)),"")</f>
        <v/>
      </c>
      <c r="C203" s="7" t="n"/>
      <c r="D203" s="7" t="n"/>
      <c r="E203" s="16" t="n"/>
      <c r="F203" s="8" t="n"/>
      <c r="G203" s="15">
        <f>IF(E203="","",ROUND(E203*(1+F203),2))</f>
        <v/>
      </c>
      <c r="H203" s="15">
        <f>IF(OR(E203="",C203=""),"",ROUND(G203/(C203/1000),2))</f>
        <v/>
      </c>
      <c r="I203" s="7" t="n"/>
      <c r="J203" s="7" t="n"/>
      <c r="K203" s="7" t="n"/>
      <c r="L203" s="7" t="n"/>
      <c r="M203" s="7" t="n"/>
    </row>
    <row r="204">
      <c r="A204" s="7" t="n"/>
      <c r="B204" s="12">
        <f>IFERROR(INDEX(Produkte!$B$2:$B$301,MATCH(A204,Produkte!$A$2:$A$301,0)),"")</f>
        <v/>
      </c>
      <c r="C204" s="7" t="n"/>
      <c r="D204" s="7" t="n"/>
      <c r="E204" s="16" t="n"/>
      <c r="F204" s="8" t="n"/>
      <c r="G204" s="15">
        <f>IF(E204="","",ROUND(E204*(1+F204),2))</f>
        <v/>
      </c>
      <c r="H204" s="15">
        <f>IF(OR(E204="",C204=""),"",ROUND(G204/(C204/1000),2))</f>
        <v/>
      </c>
      <c r="I204" s="7" t="n"/>
      <c r="J204" s="7" t="n"/>
      <c r="K204" s="7" t="n"/>
      <c r="L204" s="7" t="n"/>
      <c r="M204" s="7" t="n"/>
    </row>
    <row r="205">
      <c r="A205" s="7" t="n"/>
      <c r="B205" s="12">
        <f>IFERROR(INDEX(Produkte!$B$2:$B$301,MATCH(A205,Produkte!$A$2:$A$301,0)),"")</f>
        <v/>
      </c>
      <c r="C205" s="7" t="n"/>
      <c r="D205" s="7" t="n"/>
      <c r="E205" s="16" t="n"/>
      <c r="F205" s="8" t="n"/>
      <c r="G205" s="15">
        <f>IF(E205="","",ROUND(E205*(1+F205),2))</f>
        <v/>
      </c>
      <c r="H205" s="15">
        <f>IF(OR(E205="",C205=""),"",ROUND(G205/(C205/1000),2))</f>
        <v/>
      </c>
      <c r="I205" s="7" t="n"/>
      <c r="J205" s="7" t="n"/>
      <c r="K205" s="7" t="n"/>
      <c r="L205" s="7" t="n"/>
      <c r="M205" s="7" t="n"/>
    </row>
    <row r="206">
      <c r="A206" s="7" t="n"/>
      <c r="B206" s="12">
        <f>IFERROR(INDEX(Produkte!$B$2:$B$301,MATCH(A206,Produkte!$A$2:$A$301,0)),"")</f>
        <v/>
      </c>
      <c r="C206" s="7" t="n"/>
      <c r="D206" s="7" t="n"/>
      <c r="E206" s="16" t="n"/>
      <c r="F206" s="8" t="n"/>
      <c r="G206" s="15">
        <f>IF(E206="","",ROUND(E206*(1+F206),2))</f>
        <v/>
      </c>
      <c r="H206" s="15">
        <f>IF(OR(E206="",C206=""),"",ROUND(G206/(C206/1000),2))</f>
        <v/>
      </c>
      <c r="I206" s="7" t="n"/>
      <c r="J206" s="7" t="n"/>
      <c r="K206" s="7" t="n"/>
      <c r="L206" s="7" t="n"/>
      <c r="M206" s="7" t="n"/>
    </row>
    <row r="207">
      <c r="A207" s="7" t="n"/>
      <c r="B207" s="12">
        <f>IFERROR(INDEX(Produkte!$B$2:$B$301,MATCH(A207,Produkte!$A$2:$A$301,0)),"")</f>
        <v/>
      </c>
      <c r="C207" s="7" t="n"/>
      <c r="D207" s="7" t="n"/>
      <c r="E207" s="16" t="n"/>
      <c r="F207" s="8" t="n"/>
      <c r="G207" s="15">
        <f>IF(E207="","",ROUND(E207*(1+F207),2))</f>
        <v/>
      </c>
      <c r="H207" s="15">
        <f>IF(OR(E207="",C207=""),"",ROUND(G207/(C207/1000),2))</f>
        <v/>
      </c>
      <c r="I207" s="7" t="n"/>
      <c r="J207" s="7" t="n"/>
      <c r="K207" s="7" t="n"/>
      <c r="L207" s="7" t="n"/>
      <c r="M207" s="7" t="n"/>
    </row>
    <row r="208">
      <c r="A208" s="7" t="n"/>
      <c r="B208" s="12">
        <f>IFERROR(INDEX(Produkte!$B$2:$B$301,MATCH(A208,Produkte!$A$2:$A$301,0)),"")</f>
        <v/>
      </c>
      <c r="C208" s="7" t="n"/>
      <c r="D208" s="7" t="n"/>
      <c r="E208" s="16" t="n"/>
      <c r="F208" s="8" t="n"/>
      <c r="G208" s="15">
        <f>IF(E208="","",ROUND(E208*(1+F208),2))</f>
        <v/>
      </c>
      <c r="H208" s="15">
        <f>IF(OR(E208="",C208=""),"",ROUND(G208/(C208/1000),2))</f>
        <v/>
      </c>
      <c r="I208" s="7" t="n"/>
      <c r="J208" s="7" t="n"/>
      <c r="K208" s="7" t="n"/>
      <c r="L208" s="7" t="n"/>
      <c r="M208" s="7" t="n"/>
    </row>
    <row r="209">
      <c r="A209" s="7" t="n"/>
      <c r="B209" s="12">
        <f>IFERROR(INDEX(Produkte!$B$2:$B$301,MATCH(A209,Produkte!$A$2:$A$301,0)),"")</f>
        <v/>
      </c>
      <c r="C209" s="7" t="n"/>
      <c r="D209" s="7" t="n"/>
      <c r="E209" s="16" t="n"/>
      <c r="F209" s="8" t="n"/>
      <c r="G209" s="15">
        <f>IF(E209="","",ROUND(E209*(1+F209),2))</f>
        <v/>
      </c>
      <c r="H209" s="15">
        <f>IF(OR(E209="",C209=""),"",ROUND(G209/(C209/1000),2))</f>
        <v/>
      </c>
      <c r="I209" s="7" t="n"/>
      <c r="J209" s="7" t="n"/>
      <c r="K209" s="7" t="n"/>
      <c r="L209" s="7" t="n"/>
      <c r="M209" s="7" t="n"/>
    </row>
    <row r="210">
      <c r="A210" s="7" t="n"/>
      <c r="B210" s="12">
        <f>IFERROR(INDEX(Produkte!$B$2:$B$301,MATCH(A210,Produkte!$A$2:$A$301,0)),"")</f>
        <v/>
      </c>
      <c r="C210" s="7" t="n"/>
      <c r="D210" s="7" t="n"/>
      <c r="E210" s="16" t="n"/>
      <c r="F210" s="8" t="n"/>
      <c r="G210" s="15">
        <f>IF(E210="","",ROUND(E210*(1+F210),2))</f>
        <v/>
      </c>
      <c r="H210" s="15">
        <f>IF(OR(E210="",C210=""),"",ROUND(G210/(C210/1000),2))</f>
        <v/>
      </c>
      <c r="I210" s="7" t="n"/>
      <c r="J210" s="7" t="n"/>
      <c r="K210" s="7" t="n"/>
      <c r="L210" s="7" t="n"/>
      <c r="M210" s="7" t="n"/>
    </row>
    <row r="211">
      <c r="A211" s="7" t="n"/>
      <c r="B211" s="12">
        <f>IFERROR(INDEX(Produkte!$B$2:$B$301,MATCH(A211,Produkte!$A$2:$A$301,0)),"")</f>
        <v/>
      </c>
      <c r="C211" s="7" t="n"/>
      <c r="D211" s="7" t="n"/>
      <c r="E211" s="16" t="n"/>
      <c r="F211" s="8" t="n"/>
      <c r="G211" s="15">
        <f>IF(E211="","",ROUND(E211*(1+F211),2))</f>
        <v/>
      </c>
      <c r="H211" s="15">
        <f>IF(OR(E211="",C211=""),"",ROUND(G211/(C211/1000),2))</f>
        <v/>
      </c>
      <c r="I211" s="7" t="n"/>
      <c r="J211" s="7" t="n"/>
      <c r="K211" s="7" t="n"/>
      <c r="L211" s="7" t="n"/>
      <c r="M211" s="7" t="n"/>
    </row>
    <row r="212">
      <c r="A212" s="7" t="n"/>
      <c r="B212" s="12">
        <f>IFERROR(INDEX(Produkte!$B$2:$B$301,MATCH(A212,Produkte!$A$2:$A$301,0)),"")</f>
        <v/>
      </c>
      <c r="C212" s="7" t="n"/>
      <c r="D212" s="7" t="n"/>
      <c r="E212" s="16" t="n"/>
      <c r="F212" s="8" t="n"/>
      <c r="G212" s="15">
        <f>IF(E212="","",ROUND(E212*(1+F212),2))</f>
        <v/>
      </c>
      <c r="H212" s="15">
        <f>IF(OR(E212="",C212=""),"",ROUND(G212/(C212/1000),2))</f>
        <v/>
      </c>
      <c r="I212" s="7" t="n"/>
      <c r="J212" s="7" t="n"/>
      <c r="K212" s="7" t="n"/>
      <c r="L212" s="7" t="n"/>
      <c r="M212" s="7" t="n"/>
    </row>
    <row r="213">
      <c r="A213" s="7" t="n"/>
      <c r="B213" s="12">
        <f>IFERROR(INDEX(Produkte!$B$2:$B$301,MATCH(A213,Produkte!$A$2:$A$301,0)),"")</f>
        <v/>
      </c>
      <c r="C213" s="7" t="n"/>
      <c r="D213" s="7" t="n"/>
      <c r="E213" s="16" t="n"/>
      <c r="F213" s="8" t="n"/>
      <c r="G213" s="15">
        <f>IF(E213="","",ROUND(E213*(1+F213),2))</f>
        <v/>
      </c>
      <c r="H213" s="15">
        <f>IF(OR(E213="",C213=""),"",ROUND(G213/(C213/1000),2))</f>
        <v/>
      </c>
      <c r="I213" s="7" t="n"/>
      <c r="J213" s="7" t="n"/>
      <c r="K213" s="7" t="n"/>
      <c r="L213" s="7" t="n"/>
      <c r="M213" s="7" t="n"/>
    </row>
    <row r="214">
      <c r="A214" s="7" t="n"/>
      <c r="B214" s="12">
        <f>IFERROR(INDEX(Produkte!$B$2:$B$301,MATCH(A214,Produkte!$A$2:$A$301,0)),"")</f>
        <v/>
      </c>
      <c r="C214" s="7" t="n"/>
      <c r="D214" s="7" t="n"/>
      <c r="E214" s="16" t="n"/>
      <c r="F214" s="8" t="n"/>
      <c r="G214" s="15">
        <f>IF(E214="","",ROUND(E214*(1+F214),2))</f>
        <v/>
      </c>
      <c r="H214" s="15">
        <f>IF(OR(E214="",C214=""),"",ROUND(G214/(C214/1000),2))</f>
        <v/>
      </c>
      <c r="I214" s="7" t="n"/>
      <c r="J214" s="7" t="n"/>
      <c r="K214" s="7" t="n"/>
      <c r="L214" s="7" t="n"/>
      <c r="M214" s="7" t="n"/>
    </row>
    <row r="215">
      <c r="A215" s="7" t="n"/>
      <c r="B215" s="12">
        <f>IFERROR(INDEX(Produkte!$B$2:$B$301,MATCH(A215,Produkte!$A$2:$A$301,0)),"")</f>
        <v/>
      </c>
      <c r="C215" s="7" t="n"/>
      <c r="D215" s="7" t="n"/>
      <c r="E215" s="16" t="n"/>
      <c r="F215" s="8" t="n"/>
      <c r="G215" s="15">
        <f>IF(E215="","",ROUND(E215*(1+F215),2))</f>
        <v/>
      </c>
      <c r="H215" s="15">
        <f>IF(OR(E215="",C215=""),"",ROUND(G215/(C215/1000),2))</f>
        <v/>
      </c>
      <c r="I215" s="7" t="n"/>
      <c r="J215" s="7" t="n"/>
      <c r="K215" s="7" t="n"/>
      <c r="L215" s="7" t="n"/>
      <c r="M215" s="7" t="n"/>
    </row>
    <row r="216">
      <c r="A216" s="7" t="n"/>
      <c r="B216" s="12">
        <f>IFERROR(INDEX(Produkte!$B$2:$B$301,MATCH(A216,Produkte!$A$2:$A$301,0)),"")</f>
        <v/>
      </c>
      <c r="C216" s="7" t="n"/>
      <c r="D216" s="7" t="n"/>
      <c r="E216" s="16" t="n"/>
      <c r="F216" s="8" t="n"/>
      <c r="G216" s="15">
        <f>IF(E216="","",ROUND(E216*(1+F216),2))</f>
        <v/>
      </c>
      <c r="H216" s="15">
        <f>IF(OR(E216="",C216=""),"",ROUND(G216/(C216/1000),2))</f>
        <v/>
      </c>
      <c r="I216" s="7" t="n"/>
      <c r="J216" s="7" t="n"/>
      <c r="K216" s="7" t="n"/>
      <c r="L216" s="7" t="n"/>
      <c r="M216" s="7" t="n"/>
    </row>
    <row r="217">
      <c r="A217" s="7" t="n"/>
      <c r="B217" s="12">
        <f>IFERROR(INDEX(Produkte!$B$2:$B$301,MATCH(A217,Produkte!$A$2:$A$301,0)),"")</f>
        <v/>
      </c>
      <c r="C217" s="7" t="n"/>
      <c r="D217" s="7" t="n"/>
      <c r="E217" s="16" t="n"/>
      <c r="F217" s="8" t="n"/>
      <c r="G217" s="15">
        <f>IF(E217="","",ROUND(E217*(1+F217),2))</f>
        <v/>
      </c>
      <c r="H217" s="15">
        <f>IF(OR(E217="",C217=""),"",ROUND(G217/(C217/1000),2))</f>
        <v/>
      </c>
      <c r="I217" s="7" t="n"/>
      <c r="J217" s="7" t="n"/>
      <c r="K217" s="7" t="n"/>
      <c r="L217" s="7" t="n"/>
      <c r="M217" s="7" t="n"/>
    </row>
    <row r="218">
      <c r="A218" s="7" t="n"/>
      <c r="B218" s="12">
        <f>IFERROR(INDEX(Produkte!$B$2:$B$301,MATCH(A218,Produkte!$A$2:$A$301,0)),"")</f>
        <v/>
      </c>
      <c r="C218" s="7" t="n"/>
      <c r="D218" s="7" t="n"/>
      <c r="E218" s="16" t="n"/>
      <c r="F218" s="8" t="n"/>
      <c r="G218" s="15">
        <f>IF(E218="","",ROUND(E218*(1+F218),2))</f>
        <v/>
      </c>
      <c r="H218" s="15">
        <f>IF(OR(E218="",C218=""),"",ROUND(G218/(C218/1000),2))</f>
        <v/>
      </c>
      <c r="I218" s="7" t="n"/>
      <c r="J218" s="7" t="n"/>
      <c r="K218" s="7" t="n"/>
      <c r="L218" s="7" t="n"/>
      <c r="M218" s="7" t="n"/>
    </row>
    <row r="219">
      <c r="A219" s="7" t="n"/>
      <c r="B219" s="12">
        <f>IFERROR(INDEX(Produkte!$B$2:$B$301,MATCH(A219,Produkte!$A$2:$A$301,0)),"")</f>
        <v/>
      </c>
      <c r="C219" s="7" t="n"/>
      <c r="D219" s="7" t="n"/>
      <c r="E219" s="16" t="n"/>
      <c r="F219" s="8" t="n"/>
      <c r="G219" s="15">
        <f>IF(E219="","",ROUND(E219*(1+F219),2))</f>
        <v/>
      </c>
      <c r="H219" s="15">
        <f>IF(OR(E219="",C219=""),"",ROUND(G219/(C219/1000),2))</f>
        <v/>
      </c>
      <c r="I219" s="7" t="n"/>
      <c r="J219" s="7" t="n"/>
      <c r="K219" s="7" t="n"/>
      <c r="L219" s="7" t="n"/>
      <c r="M219" s="7" t="n"/>
    </row>
    <row r="220">
      <c r="A220" s="7" t="n"/>
      <c r="B220" s="12">
        <f>IFERROR(INDEX(Produkte!$B$2:$B$301,MATCH(A220,Produkte!$A$2:$A$301,0)),"")</f>
        <v/>
      </c>
      <c r="C220" s="7" t="n"/>
      <c r="D220" s="7" t="n"/>
      <c r="E220" s="16" t="n"/>
      <c r="F220" s="8" t="n"/>
      <c r="G220" s="15">
        <f>IF(E220="","",ROUND(E220*(1+F220),2))</f>
        <v/>
      </c>
      <c r="H220" s="15">
        <f>IF(OR(E220="",C220=""),"",ROUND(G220/(C220/1000),2))</f>
        <v/>
      </c>
      <c r="I220" s="7" t="n"/>
      <c r="J220" s="7" t="n"/>
      <c r="K220" s="7" t="n"/>
      <c r="L220" s="7" t="n"/>
      <c r="M220" s="7" t="n"/>
    </row>
    <row r="221">
      <c r="A221" s="7" t="n"/>
      <c r="B221" s="12">
        <f>IFERROR(INDEX(Produkte!$B$2:$B$301,MATCH(A221,Produkte!$A$2:$A$301,0)),"")</f>
        <v/>
      </c>
      <c r="C221" s="7" t="n"/>
      <c r="D221" s="7" t="n"/>
      <c r="E221" s="16" t="n"/>
      <c r="F221" s="8" t="n"/>
      <c r="G221" s="15">
        <f>IF(E221="","",ROUND(E221*(1+F221),2))</f>
        <v/>
      </c>
      <c r="H221" s="15">
        <f>IF(OR(E221="",C221=""),"",ROUND(G221/(C221/1000),2))</f>
        <v/>
      </c>
      <c r="I221" s="7" t="n"/>
      <c r="J221" s="7" t="n"/>
      <c r="K221" s="7" t="n"/>
      <c r="L221" s="7" t="n"/>
      <c r="M221" s="7" t="n"/>
    </row>
    <row r="222">
      <c r="A222" s="7" t="n"/>
      <c r="B222" s="12">
        <f>IFERROR(INDEX(Produkte!$B$2:$B$301,MATCH(A222,Produkte!$A$2:$A$301,0)),"")</f>
        <v/>
      </c>
      <c r="C222" s="7" t="n"/>
      <c r="D222" s="7" t="n"/>
      <c r="E222" s="16" t="n"/>
      <c r="F222" s="8" t="n"/>
      <c r="G222" s="15">
        <f>IF(E222="","",ROUND(E222*(1+F222),2))</f>
        <v/>
      </c>
      <c r="H222" s="15">
        <f>IF(OR(E222="",C222=""),"",ROUND(G222/(C222/1000),2))</f>
        <v/>
      </c>
      <c r="I222" s="7" t="n"/>
      <c r="J222" s="7" t="n"/>
      <c r="K222" s="7" t="n"/>
      <c r="L222" s="7" t="n"/>
      <c r="M222" s="7" t="n"/>
    </row>
    <row r="223">
      <c r="A223" s="7" t="n"/>
      <c r="B223" s="12">
        <f>IFERROR(INDEX(Produkte!$B$2:$B$301,MATCH(A223,Produkte!$A$2:$A$301,0)),"")</f>
        <v/>
      </c>
      <c r="C223" s="7" t="n"/>
      <c r="D223" s="7" t="n"/>
      <c r="E223" s="16" t="n"/>
      <c r="F223" s="8" t="n"/>
      <c r="G223" s="15">
        <f>IF(E223="","",ROUND(E223*(1+F223),2))</f>
        <v/>
      </c>
      <c r="H223" s="15">
        <f>IF(OR(E223="",C223=""),"",ROUND(G223/(C223/1000),2))</f>
        <v/>
      </c>
      <c r="I223" s="7" t="n"/>
      <c r="J223" s="7" t="n"/>
      <c r="K223" s="7" t="n"/>
      <c r="L223" s="7" t="n"/>
      <c r="M223" s="7" t="n"/>
    </row>
    <row r="224">
      <c r="A224" s="7" t="n"/>
      <c r="B224" s="12">
        <f>IFERROR(INDEX(Produkte!$B$2:$B$301,MATCH(A224,Produkte!$A$2:$A$301,0)),"")</f>
        <v/>
      </c>
      <c r="C224" s="7" t="n"/>
      <c r="D224" s="7" t="n"/>
      <c r="E224" s="16" t="n"/>
      <c r="F224" s="8" t="n"/>
      <c r="G224" s="15">
        <f>IF(E224="","",ROUND(E224*(1+F224),2))</f>
        <v/>
      </c>
      <c r="H224" s="15">
        <f>IF(OR(E224="",C224=""),"",ROUND(G224/(C224/1000),2))</f>
        <v/>
      </c>
      <c r="I224" s="7" t="n"/>
      <c r="J224" s="7" t="n"/>
      <c r="K224" s="7" t="n"/>
      <c r="L224" s="7" t="n"/>
      <c r="M224" s="7" t="n"/>
    </row>
    <row r="225">
      <c r="A225" s="7" t="n"/>
      <c r="B225" s="12">
        <f>IFERROR(INDEX(Produkte!$B$2:$B$301,MATCH(A225,Produkte!$A$2:$A$301,0)),"")</f>
        <v/>
      </c>
      <c r="C225" s="7" t="n"/>
      <c r="D225" s="7" t="n"/>
      <c r="E225" s="16" t="n"/>
      <c r="F225" s="8" t="n"/>
      <c r="G225" s="15">
        <f>IF(E225="","",ROUND(E225*(1+F225),2))</f>
        <v/>
      </c>
      <c r="H225" s="15">
        <f>IF(OR(E225="",C225=""),"",ROUND(G225/(C225/1000),2))</f>
        <v/>
      </c>
      <c r="I225" s="7" t="n"/>
      <c r="J225" s="7" t="n"/>
      <c r="K225" s="7" t="n"/>
      <c r="L225" s="7" t="n"/>
      <c r="M225" s="7" t="n"/>
    </row>
    <row r="226">
      <c r="A226" s="7" t="n"/>
      <c r="B226" s="12">
        <f>IFERROR(INDEX(Produkte!$B$2:$B$301,MATCH(A226,Produkte!$A$2:$A$301,0)),"")</f>
        <v/>
      </c>
      <c r="C226" s="7" t="n"/>
      <c r="D226" s="7" t="n"/>
      <c r="E226" s="16" t="n"/>
      <c r="F226" s="8" t="n"/>
      <c r="G226" s="15">
        <f>IF(E226="","",ROUND(E226*(1+F226),2))</f>
        <v/>
      </c>
      <c r="H226" s="15">
        <f>IF(OR(E226="",C226=""),"",ROUND(G226/(C226/1000),2))</f>
        <v/>
      </c>
      <c r="I226" s="7" t="n"/>
      <c r="J226" s="7" t="n"/>
      <c r="K226" s="7" t="n"/>
      <c r="L226" s="7" t="n"/>
      <c r="M226" s="7" t="n"/>
    </row>
    <row r="227">
      <c r="A227" s="7" t="n"/>
      <c r="B227" s="12">
        <f>IFERROR(INDEX(Produkte!$B$2:$B$301,MATCH(A227,Produkte!$A$2:$A$301,0)),"")</f>
        <v/>
      </c>
      <c r="C227" s="7" t="n"/>
      <c r="D227" s="7" t="n"/>
      <c r="E227" s="16" t="n"/>
      <c r="F227" s="8" t="n"/>
      <c r="G227" s="15">
        <f>IF(E227="","",ROUND(E227*(1+F227),2))</f>
        <v/>
      </c>
      <c r="H227" s="15">
        <f>IF(OR(E227="",C227=""),"",ROUND(G227/(C227/1000),2))</f>
        <v/>
      </c>
      <c r="I227" s="7" t="n"/>
      <c r="J227" s="7" t="n"/>
      <c r="K227" s="7" t="n"/>
      <c r="L227" s="7" t="n"/>
      <c r="M227" s="7" t="n"/>
    </row>
    <row r="228">
      <c r="A228" s="7" t="n"/>
      <c r="B228" s="12">
        <f>IFERROR(INDEX(Produkte!$B$2:$B$301,MATCH(A228,Produkte!$A$2:$A$301,0)),"")</f>
        <v/>
      </c>
      <c r="C228" s="7" t="n"/>
      <c r="D228" s="7" t="n"/>
      <c r="E228" s="16" t="n"/>
      <c r="F228" s="8" t="n"/>
      <c r="G228" s="15">
        <f>IF(E228="","",ROUND(E228*(1+F228),2))</f>
        <v/>
      </c>
      <c r="H228" s="15">
        <f>IF(OR(E228="",C228=""),"",ROUND(G228/(C228/1000),2))</f>
        <v/>
      </c>
      <c r="I228" s="7" t="n"/>
      <c r="J228" s="7" t="n"/>
      <c r="K228" s="7" t="n"/>
      <c r="L228" s="7" t="n"/>
      <c r="M228" s="7" t="n"/>
    </row>
    <row r="229">
      <c r="A229" s="7" t="n"/>
      <c r="B229" s="12">
        <f>IFERROR(INDEX(Produkte!$B$2:$B$301,MATCH(A229,Produkte!$A$2:$A$301,0)),"")</f>
        <v/>
      </c>
      <c r="C229" s="7" t="n"/>
      <c r="D229" s="7" t="n"/>
      <c r="E229" s="16" t="n"/>
      <c r="F229" s="8" t="n"/>
      <c r="G229" s="15">
        <f>IF(E229="","",ROUND(E229*(1+F229),2))</f>
        <v/>
      </c>
      <c r="H229" s="15">
        <f>IF(OR(E229="",C229=""),"",ROUND(G229/(C229/1000),2))</f>
        <v/>
      </c>
      <c r="I229" s="7" t="n"/>
      <c r="J229" s="7" t="n"/>
      <c r="K229" s="7" t="n"/>
      <c r="L229" s="7" t="n"/>
      <c r="M229" s="7" t="n"/>
    </row>
    <row r="230">
      <c r="A230" s="7" t="n"/>
      <c r="B230" s="12">
        <f>IFERROR(INDEX(Produkte!$B$2:$B$301,MATCH(A230,Produkte!$A$2:$A$301,0)),"")</f>
        <v/>
      </c>
      <c r="C230" s="7" t="n"/>
      <c r="D230" s="7" t="n"/>
      <c r="E230" s="16" t="n"/>
      <c r="F230" s="8" t="n"/>
      <c r="G230" s="15">
        <f>IF(E230="","",ROUND(E230*(1+F230),2))</f>
        <v/>
      </c>
      <c r="H230" s="15">
        <f>IF(OR(E230="",C230=""),"",ROUND(G230/(C230/1000),2))</f>
        <v/>
      </c>
      <c r="I230" s="7" t="n"/>
      <c r="J230" s="7" t="n"/>
      <c r="K230" s="7" t="n"/>
      <c r="L230" s="7" t="n"/>
      <c r="M230" s="7" t="n"/>
    </row>
    <row r="231">
      <c r="A231" s="7" t="n"/>
      <c r="B231" s="12">
        <f>IFERROR(INDEX(Produkte!$B$2:$B$301,MATCH(A231,Produkte!$A$2:$A$301,0)),"")</f>
        <v/>
      </c>
      <c r="C231" s="7" t="n"/>
      <c r="D231" s="7" t="n"/>
      <c r="E231" s="16" t="n"/>
      <c r="F231" s="8" t="n"/>
      <c r="G231" s="15">
        <f>IF(E231="","",ROUND(E231*(1+F231),2))</f>
        <v/>
      </c>
      <c r="H231" s="15">
        <f>IF(OR(E231="",C231=""),"",ROUND(G231/(C231/1000),2))</f>
        <v/>
      </c>
      <c r="I231" s="7" t="n"/>
      <c r="J231" s="7" t="n"/>
      <c r="K231" s="7" t="n"/>
      <c r="L231" s="7" t="n"/>
      <c r="M231" s="7" t="n"/>
    </row>
    <row r="232">
      <c r="A232" s="7" t="n"/>
      <c r="B232" s="12">
        <f>IFERROR(INDEX(Produkte!$B$2:$B$301,MATCH(A232,Produkte!$A$2:$A$301,0)),"")</f>
        <v/>
      </c>
      <c r="C232" s="7" t="n"/>
      <c r="D232" s="7" t="n"/>
      <c r="E232" s="16" t="n"/>
      <c r="F232" s="8" t="n"/>
      <c r="G232" s="15">
        <f>IF(E232="","",ROUND(E232*(1+F232),2))</f>
        <v/>
      </c>
      <c r="H232" s="15">
        <f>IF(OR(E232="",C232=""),"",ROUND(G232/(C232/1000),2))</f>
        <v/>
      </c>
      <c r="I232" s="7" t="n"/>
      <c r="J232" s="7" t="n"/>
      <c r="K232" s="7" t="n"/>
      <c r="L232" s="7" t="n"/>
      <c r="M232" s="7" t="n"/>
    </row>
    <row r="233">
      <c r="A233" s="7" t="n"/>
      <c r="B233" s="12">
        <f>IFERROR(INDEX(Produkte!$B$2:$B$301,MATCH(A233,Produkte!$A$2:$A$301,0)),"")</f>
        <v/>
      </c>
      <c r="C233" s="7" t="n"/>
      <c r="D233" s="7" t="n"/>
      <c r="E233" s="16" t="n"/>
      <c r="F233" s="8" t="n"/>
      <c r="G233" s="15">
        <f>IF(E233="","",ROUND(E233*(1+F233),2))</f>
        <v/>
      </c>
      <c r="H233" s="15">
        <f>IF(OR(E233="",C233=""),"",ROUND(G233/(C233/1000),2))</f>
        <v/>
      </c>
      <c r="I233" s="7" t="n"/>
      <c r="J233" s="7" t="n"/>
      <c r="K233" s="7" t="n"/>
      <c r="L233" s="7" t="n"/>
      <c r="M233" s="7" t="n"/>
    </row>
    <row r="234">
      <c r="A234" s="7" t="n"/>
      <c r="B234" s="12">
        <f>IFERROR(INDEX(Produkte!$B$2:$B$301,MATCH(A234,Produkte!$A$2:$A$301,0)),"")</f>
        <v/>
      </c>
      <c r="C234" s="7" t="n"/>
      <c r="D234" s="7" t="n"/>
      <c r="E234" s="16" t="n"/>
      <c r="F234" s="8" t="n"/>
      <c r="G234" s="15">
        <f>IF(E234="","",ROUND(E234*(1+F234),2))</f>
        <v/>
      </c>
      <c r="H234" s="15">
        <f>IF(OR(E234="",C234=""),"",ROUND(G234/(C234/1000),2))</f>
        <v/>
      </c>
      <c r="I234" s="7" t="n"/>
      <c r="J234" s="7" t="n"/>
      <c r="K234" s="7" t="n"/>
      <c r="L234" s="7" t="n"/>
      <c r="M234" s="7" t="n"/>
    </row>
    <row r="235">
      <c r="A235" s="7" t="n"/>
      <c r="B235" s="12">
        <f>IFERROR(INDEX(Produkte!$B$2:$B$301,MATCH(A235,Produkte!$A$2:$A$301,0)),"")</f>
        <v/>
      </c>
      <c r="C235" s="7" t="n"/>
      <c r="D235" s="7" t="n"/>
      <c r="E235" s="16" t="n"/>
      <c r="F235" s="8" t="n"/>
      <c r="G235" s="15">
        <f>IF(E235="","",ROUND(E235*(1+F235),2))</f>
        <v/>
      </c>
      <c r="H235" s="15">
        <f>IF(OR(E235="",C235=""),"",ROUND(G235/(C235/1000),2))</f>
        <v/>
      </c>
      <c r="I235" s="7" t="n"/>
      <c r="J235" s="7" t="n"/>
      <c r="K235" s="7" t="n"/>
      <c r="L235" s="7" t="n"/>
      <c r="M235" s="7" t="n"/>
    </row>
    <row r="236">
      <c r="A236" s="7" t="n"/>
      <c r="B236" s="12">
        <f>IFERROR(INDEX(Produkte!$B$2:$B$301,MATCH(A236,Produkte!$A$2:$A$301,0)),"")</f>
        <v/>
      </c>
      <c r="C236" s="7" t="n"/>
      <c r="D236" s="7" t="n"/>
      <c r="E236" s="16" t="n"/>
      <c r="F236" s="8" t="n"/>
      <c r="G236" s="15">
        <f>IF(E236="","",ROUND(E236*(1+F236),2))</f>
        <v/>
      </c>
      <c r="H236" s="15">
        <f>IF(OR(E236="",C236=""),"",ROUND(G236/(C236/1000),2))</f>
        <v/>
      </c>
      <c r="I236" s="7" t="n"/>
      <c r="J236" s="7" t="n"/>
      <c r="K236" s="7" t="n"/>
      <c r="L236" s="7" t="n"/>
      <c r="M236" s="7" t="n"/>
    </row>
    <row r="237">
      <c r="A237" s="7" t="n"/>
      <c r="B237" s="12">
        <f>IFERROR(INDEX(Produkte!$B$2:$B$301,MATCH(A237,Produkte!$A$2:$A$301,0)),"")</f>
        <v/>
      </c>
      <c r="C237" s="7" t="n"/>
      <c r="D237" s="7" t="n"/>
      <c r="E237" s="16" t="n"/>
      <c r="F237" s="8" t="n"/>
      <c r="G237" s="15">
        <f>IF(E237="","",ROUND(E237*(1+F237),2))</f>
        <v/>
      </c>
      <c r="H237" s="15">
        <f>IF(OR(E237="",C237=""),"",ROUND(G237/(C237/1000),2))</f>
        <v/>
      </c>
      <c r="I237" s="7" t="n"/>
      <c r="J237" s="7" t="n"/>
      <c r="K237" s="7" t="n"/>
      <c r="L237" s="7" t="n"/>
      <c r="M237" s="7" t="n"/>
    </row>
    <row r="238">
      <c r="A238" s="7" t="n"/>
      <c r="B238" s="12">
        <f>IFERROR(INDEX(Produkte!$B$2:$B$301,MATCH(A238,Produkte!$A$2:$A$301,0)),"")</f>
        <v/>
      </c>
      <c r="C238" s="7" t="n"/>
      <c r="D238" s="7" t="n"/>
      <c r="E238" s="16" t="n"/>
      <c r="F238" s="8" t="n"/>
      <c r="G238" s="15">
        <f>IF(E238="","",ROUND(E238*(1+F238),2))</f>
        <v/>
      </c>
      <c r="H238" s="15">
        <f>IF(OR(E238="",C238=""),"",ROUND(G238/(C238/1000),2))</f>
        <v/>
      </c>
      <c r="I238" s="7" t="n"/>
      <c r="J238" s="7" t="n"/>
      <c r="K238" s="7" t="n"/>
      <c r="L238" s="7" t="n"/>
      <c r="M238" s="7" t="n"/>
    </row>
    <row r="239">
      <c r="A239" s="7" t="n"/>
      <c r="B239" s="12">
        <f>IFERROR(INDEX(Produkte!$B$2:$B$301,MATCH(A239,Produkte!$A$2:$A$301,0)),"")</f>
        <v/>
      </c>
      <c r="C239" s="7" t="n"/>
      <c r="D239" s="7" t="n"/>
      <c r="E239" s="16" t="n"/>
      <c r="F239" s="8" t="n"/>
      <c r="G239" s="15">
        <f>IF(E239="","",ROUND(E239*(1+F239),2))</f>
        <v/>
      </c>
      <c r="H239" s="15">
        <f>IF(OR(E239="",C239=""),"",ROUND(G239/(C239/1000),2))</f>
        <v/>
      </c>
      <c r="I239" s="7" t="n"/>
      <c r="J239" s="7" t="n"/>
      <c r="K239" s="7" t="n"/>
      <c r="L239" s="7" t="n"/>
      <c r="M239" s="7" t="n"/>
    </row>
    <row r="240">
      <c r="A240" s="7" t="n"/>
      <c r="B240" s="12">
        <f>IFERROR(INDEX(Produkte!$B$2:$B$301,MATCH(A240,Produkte!$A$2:$A$301,0)),"")</f>
        <v/>
      </c>
      <c r="C240" s="7" t="n"/>
      <c r="D240" s="7" t="n"/>
      <c r="E240" s="16" t="n"/>
      <c r="F240" s="8" t="n"/>
      <c r="G240" s="15">
        <f>IF(E240="","",ROUND(E240*(1+F240),2))</f>
        <v/>
      </c>
      <c r="H240" s="15">
        <f>IF(OR(E240="",C240=""),"",ROUND(G240/(C240/1000),2))</f>
        <v/>
      </c>
      <c r="I240" s="7" t="n"/>
      <c r="J240" s="7" t="n"/>
      <c r="K240" s="7" t="n"/>
      <c r="L240" s="7" t="n"/>
      <c r="M240" s="7" t="n"/>
    </row>
    <row r="241">
      <c r="A241" s="7" t="n"/>
      <c r="B241" s="12">
        <f>IFERROR(INDEX(Produkte!$B$2:$B$301,MATCH(A241,Produkte!$A$2:$A$301,0)),"")</f>
        <v/>
      </c>
      <c r="C241" s="7" t="n"/>
      <c r="D241" s="7" t="n"/>
      <c r="E241" s="16" t="n"/>
      <c r="F241" s="8" t="n"/>
      <c r="G241" s="15">
        <f>IF(E241="","",ROUND(E241*(1+F241),2))</f>
        <v/>
      </c>
      <c r="H241" s="15">
        <f>IF(OR(E241="",C241=""),"",ROUND(G241/(C241/1000),2))</f>
        <v/>
      </c>
      <c r="I241" s="7" t="n"/>
      <c r="J241" s="7" t="n"/>
      <c r="K241" s="7" t="n"/>
      <c r="L241" s="7" t="n"/>
      <c r="M241" s="7" t="n"/>
    </row>
    <row r="242">
      <c r="A242" s="7" t="n"/>
      <c r="B242" s="12">
        <f>IFERROR(INDEX(Produkte!$B$2:$B$301,MATCH(A242,Produkte!$A$2:$A$301,0)),"")</f>
        <v/>
      </c>
      <c r="C242" s="7" t="n"/>
      <c r="D242" s="7" t="n"/>
      <c r="E242" s="16" t="n"/>
      <c r="F242" s="8" t="n"/>
      <c r="G242" s="15">
        <f>IF(E242="","",ROUND(E242*(1+F242),2))</f>
        <v/>
      </c>
      <c r="H242" s="15">
        <f>IF(OR(E242="",C242=""),"",ROUND(G242/(C242/1000),2))</f>
        <v/>
      </c>
      <c r="I242" s="7" t="n"/>
      <c r="J242" s="7" t="n"/>
      <c r="K242" s="7" t="n"/>
      <c r="L242" s="7" t="n"/>
      <c r="M242" s="7" t="n"/>
    </row>
    <row r="243">
      <c r="A243" s="7" t="n"/>
      <c r="B243" s="12">
        <f>IFERROR(INDEX(Produkte!$B$2:$B$301,MATCH(A243,Produkte!$A$2:$A$301,0)),"")</f>
        <v/>
      </c>
      <c r="C243" s="7" t="n"/>
      <c r="D243" s="7" t="n"/>
      <c r="E243" s="16" t="n"/>
      <c r="F243" s="8" t="n"/>
      <c r="G243" s="15">
        <f>IF(E243="","",ROUND(E243*(1+F243),2))</f>
        <v/>
      </c>
      <c r="H243" s="15">
        <f>IF(OR(E243="",C243=""),"",ROUND(G243/(C243/1000),2))</f>
        <v/>
      </c>
      <c r="I243" s="7" t="n"/>
      <c r="J243" s="7" t="n"/>
      <c r="K243" s="7" t="n"/>
      <c r="L243" s="7" t="n"/>
      <c r="M243" s="7" t="n"/>
    </row>
    <row r="244">
      <c r="A244" s="7" t="n"/>
      <c r="B244" s="12">
        <f>IFERROR(INDEX(Produkte!$B$2:$B$301,MATCH(A244,Produkte!$A$2:$A$301,0)),"")</f>
        <v/>
      </c>
      <c r="C244" s="7" t="n"/>
      <c r="D244" s="7" t="n"/>
      <c r="E244" s="16" t="n"/>
      <c r="F244" s="8" t="n"/>
      <c r="G244" s="15">
        <f>IF(E244="","",ROUND(E244*(1+F244),2))</f>
        <v/>
      </c>
      <c r="H244" s="15">
        <f>IF(OR(E244="",C244=""),"",ROUND(G244/(C244/1000),2))</f>
        <v/>
      </c>
      <c r="I244" s="7" t="n"/>
      <c r="J244" s="7" t="n"/>
      <c r="K244" s="7" t="n"/>
      <c r="L244" s="7" t="n"/>
      <c r="M244" s="7" t="n"/>
    </row>
    <row r="245">
      <c r="A245" s="7" t="n"/>
      <c r="B245" s="12">
        <f>IFERROR(INDEX(Produkte!$B$2:$B$301,MATCH(A245,Produkte!$A$2:$A$301,0)),"")</f>
        <v/>
      </c>
      <c r="C245" s="7" t="n"/>
      <c r="D245" s="7" t="n"/>
      <c r="E245" s="16" t="n"/>
      <c r="F245" s="8" t="n"/>
      <c r="G245" s="15">
        <f>IF(E245="","",ROUND(E245*(1+F245),2))</f>
        <v/>
      </c>
      <c r="H245" s="15">
        <f>IF(OR(E245="",C245=""),"",ROUND(G245/(C245/1000),2))</f>
        <v/>
      </c>
      <c r="I245" s="7" t="n"/>
      <c r="J245" s="7" t="n"/>
      <c r="K245" s="7" t="n"/>
      <c r="L245" s="7" t="n"/>
      <c r="M245" s="7" t="n"/>
    </row>
    <row r="246">
      <c r="A246" s="7" t="n"/>
      <c r="B246" s="12">
        <f>IFERROR(INDEX(Produkte!$B$2:$B$301,MATCH(A246,Produkte!$A$2:$A$301,0)),"")</f>
        <v/>
      </c>
      <c r="C246" s="7" t="n"/>
      <c r="D246" s="7" t="n"/>
      <c r="E246" s="16" t="n"/>
      <c r="F246" s="8" t="n"/>
      <c r="G246" s="15">
        <f>IF(E246="","",ROUND(E246*(1+F246),2))</f>
        <v/>
      </c>
      <c r="H246" s="15">
        <f>IF(OR(E246="",C246=""),"",ROUND(G246/(C246/1000),2))</f>
        <v/>
      </c>
      <c r="I246" s="7" t="n"/>
      <c r="J246" s="7" t="n"/>
      <c r="K246" s="7" t="n"/>
      <c r="L246" s="7" t="n"/>
      <c r="M246" s="7" t="n"/>
    </row>
    <row r="247">
      <c r="A247" s="7" t="n"/>
      <c r="B247" s="12">
        <f>IFERROR(INDEX(Produkte!$B$2:$B$301,MATCH(A247,Produkte!$A$2:$A$301,0)),"")</f>
        <v/>
      </c>
      <c r="C247" s="7" t="n"/>
      <c r="D247" s="7" t="n"/>
      <c r="E247" s="16" t="n"/>
      <c r="F247" s="8" t="n"/>
      <c r="G247" s="15">
        <f>IF(E247="","",ROUND(E247*(1+F247),2))</f>
        <v/>
      </c>
      <c r="H247" s="15">
        <f>IF(OR(E247="",C247=""),"",ROUND(G247/(C247/1000),2))</f>
        <v/>
      </c>
      <c r="I247" s="7" t="n"/>
      <c r="J247" s="7" t="n"/>
      <c r="K247" s="7" t="n"/>
      <c r="L247" s="7" t="n"/>
      <c r="M247" s="7" t="n"/>
    </row>
    <row r="248">
      <c r="A248" s="7" t="n"/>
      <c r="B248" s="12">
        <f>IFERROR(INDEX(Produkte!$B$2:$B$301,MATCH(A248,Produkte!$A$2:$A$301,0)),"")</f>
        <v/>
      </c>
      <c r="C248" s="7" t="n"/>
      <c r="D248" s="7" t="n"/>
      <c r="E248" s="16" t="n"/>
      <c r="F248" s="8" t="n"/>
      <c r="G248" s="15">
        <f>IF(E248="","",ROUND(E248*(1+F248),2))</f>
        <v/>
      </c>
      <c r="H248" s="15">
        <f>IF(OR(E248="",C248=""),"",ROUND(G248/(C248/1000),2))</f>
        <v/>
      </c>
      <c r="I248" s="7" t="n"/>
      <c r="J248" s="7" t="n"/>
      <c r="K248" s="7" t="n"/>
      <c r="L248" s="7" t="n"/>
      <c r="M248" s="7" t="n"/>
    </row>
    <row r="249">
      <c r="A249" s="7" t="n"/>
      <c r="B249" s="12">
        <f>IFERROR(INDEX(Produkte!$B$2:$B$301,MATCH(A249,Produkte!$A$2:$A$301,0)),"")</f>
        <v/>
      </c>
      <c r="C249" s="7" t="n"/>
      <c r="D249" s="7" t="n"/>
      <c r="E249" s="16" t="n"/>
      <c r="F249" s="8" t="n"/>
      <c r="G249" s="15">
        <f>IF(E249="","",ROUND(E249*(1+F249),2))</f>
        <v/>
      </c>
      <c r="H249" s="15">
        <f>IF(OR(E249="",C249=""),"",ROUND(G249/(C249/1000),2))</f>
        <v/>
      </c>
      <c r="I249" s="7" t="n"/>
      <c r="J249" s="7" t="n"/>
      <c r="K249" s="7" t="n"/>
      <c r="L249" s="7" t="n"/>
      <c r="M249" s="7" t="n"/>
    </row>
    <row r="250">
      <c r="A250" s="7" t="n"/>
      <c r="B250" s="12">
        <f>IFERROR(INDEX(Produkte!$B$2:$B$301,MATCH(A250,Produkte!$A$2:$A$301,0)),"")</f>
        <v/>
      </c>
      <c r="C250" s="7" t="n"/>
      <c r="D250" s="7" t="n"/>
      <c r="E250" s="16" t="n"/>
      <c r="F250" s="8" t="n"/>
      <c r="G250" s="15">
        <f>IF(E250="","",ROUND(E250*(1+F250),2))</f>
        <v/>
      </c>
      <c r="H250" s="15">
        <f>IF(OR(E250="",C250=""),"",ROUND(G250/(C250/1000),2))</f>
        <v/>
      </c>
      <c r="I250" s="7" t="n"/>
      <c r="J250" s="7" t="n"/>
      <c r="K250" s="7" t="n"/>
      <c r="L250" s="7" t="n"/>
      <c r="M250" s="7" t="n"/>
    </row>
    <row r="251">
      <c r="A251" s="7" t="n"/>
      <c r="B251" s="12">
        <f>IFERROR(INDEX(Produkte!$B$2:$B$301,MATCH(A251,Produkte!$A$2:$A$301,0)),"")</f>
        <v/>
      </c>
      <c r="C251" s="7" t="n"/>
      <c r="D251" s="7" t="n"/>
      <c r="E251" s="16" t="n"/>
      <c r="F251" s="8" t="n"/>
      <c r="G251" s="15">
        <f>IF(E251="","",ROUND(E251*(1+F251),2))</f>
        <v/>
      </c>
      <c r="H251" s="15">
        <f>IF(OR(E251="",C251=""),"",ROUND(G251/(C251/1000),2))</f>
        <v/>
      </c>
      <c r="I251" s="7" t="n"/>
      <c r="J251" s="7" t="n"/>
      <c r="K251" s="7" t="n"/>
      <c r="L251" s="7" t="n"/>
      <c r="M251" s="7" t="n"/>
    </row>
    <row r="252">
      <c r="A252" s="7" t="n"/>
      <c r="B252" s="12">
        <f>IFERROR(INDEX(Produkte!$B$2:$B$301,MATCH(A252,Produkte!$A$2:$A$301,0)),"")</f>
        <v/>
      </c>
      <c r="C252" s="7" t="n"/>
      <c r="D252" s="7" t="n"/>
      <c r="E252" s="16" t="n"/>
      <c r="F252" s="8" t="n"/>
      <c r="G252" s="15">
        <f>IF(E252="","",ROUND(E252*(1+F252),2))</f>
        <v/>
      </c>
      <c r="H252" s="15">
        <f>IF(OR(E252="",C252=""),"",ROUND(G252/(C252/1000),2))</f>
        <v/>
      </c>
      <c r="I252" s="7" t="n"/>
      <c r="J252" s="7" t="n"/>
      <c r="K252" s="7" t="n"/>
      <c r="L252" s="7" t="n"/>
      <c r="M252" s="7" t="n"/>
    </row>
    <row r="253">
      <c r="A253" s="7" t="n"/>
      <c r="B253" s="12">
        <f>IFERROR(INDEX(Produkte!$B$2:$B$301,MATCH(A253,Produkte!$A$2:$A$301,0)),"")</f>
        <v/>
      </c>
      <c r="C253" s="7" t="n"/>
      <c r="D253" s="7" t="n"/>
      <c r="E253" s="16" t="n"/>
      <c r="F253" s="8" t="n"/>
      <c r="G253" s="15">
        <f>IF(E253="","",ROUND(E253*(1+F253),2))</f>
        <v/>
      </c>
      <c r="H253" s="15">
        <f>IF(OR(E253="",C253=""),"",ROUND(G253/(C253/1000),2))</f>
        <v/>
      </c>
      <c r="I253" s="7" t="n"/>
      <c r="J253" s="7" t="n"/>
      <c r="K253" s="7" t="n"/>
      <c r="L253" s="7" t="n"/>
      <c r="M253" s="7" t="n"/>
    </row>
    <row r="254">
      <c r="A254" s="7" t="n"/>
      <c r="B254" s="12">
        <f>IFERROR(INDEX(Produkte!$B$2:$B$301,MATCH(A254,Produkte!$A$2:$A$301,0)),"")</f>
        <v/>
      </c>
      <c r="C254" s="7" t="n"/>
      <c r="D254" s="7" t="n"/>
      <c r="E254" s="16" t="n"/>
      <c r="F254" s="8" t="n"/>
      <c r="G254" s="15">
        <f>IF(E254="","",ROUND(E254*(1+F254),2))</f>
        <v/>
      </c>
      <c r="H254" s="15">
        <f>IF(OR(E254="",C254=""),"",ROUND(G254/(C254/1000),2))</f>
        <v/>
      </c>
      <c r="I254" s="7" t="n"/>
      <c r="J254" s="7" t="n"/>
      <c r="K254" s="7" t="n"/>
      <c r="L254" s="7" t="n"/>
      <c r="M254" s="7" t="n"/>
    </row>
    <row r="255">
      <c r="A255" s="7" t="n"/>
      <c r="B255" s="12">
        <f>IFERROR(INDEX(Produkte!$B$2:$B$301,MATCH(A255,Produkte!$A$2:$A$301,0)),"")</f>
        <v/>
      </c>
      <c r="C255" s="7" t="n"/>
      <c r="D255" s="7" t="n"/>
      <c r="E255" s="16" t="n"/>
      <c r="F255" s="8" t="n"/>
      <c r="G255" s="15">
        <f>IF(E255="","",ROUND(E255*(1+F255),2))</f>
        <v/>
      </c>
      <c r="H255" s="15">
        <f>IF(OR(E255="",C255=""),"",ROUND(G255/(C255/1000),2))</f>
        <v/>
      </c>
      <c r="I255" s="7" t="n"/>
      <c r="J255" s="7" t="n"/>
      <c r="K255" s="7" t="n"/>
      <c r="L255" s="7" t="n"/>
      <c r="M255" s="7" t="n"/>
    </row>
    <row r="256">
      <c r="A256" s="7" t="n"/>
      <c r="B256" s="12">
        <f>IFERROR(INDEX(Produkte!$B$2:$B$301,MATCH(A256,Produkte!$A$2:$A$301,0)),"")</f>
        <v/>
      </c>
      <c r="C256" s="7" t="n"/>
      <c r="D256" s="7" t="n"/>
      <c r="E256" s="16" t="n"/>
      <c r="F256" s="8" t="n"/>
      <c r="G256" s="15">
        <f>IF(E256="","",ROUND(E256*(1+F256),2))</f>
        <v/>
      </c>
      <c r="H256" s="15">
        <f>IF(OR(E256="",C256=""),"",ROUND(G256/(C256/1000),2))</f>
        <v/>
      </c>
      <c r="I256" s="7" t="n"/>
      <c r="J256" s="7" t="n"/>
      <c r="K256" s="7" t="n"/>
      <c r="L256" s="7" t="n"/>
      <c r="M256" s="7" t="n"/>
    </row>
    <row r="257">
      <c r="A257" s="7" t="n"/>
      <c r="B257" s="12">
        <f>IFERROR(INDEX(Produkte!$B$2:$B$301,MATCH(A257,Produkte!$A$2:$A$301,0)),"")</f>
        <v/>
      </c>
      <c r="C257" s="7" t="n"/>
      <c r="D257" s="7" t="n"/>
      <c r="E257" s="16" t="n"/>
      <c r="F257" s="8" t="n"/>
      <c r="G257" s="15">
        <f>IF(E257="","",ROUND(E257*(1+F257),2))</f>
        <v/>
      </c>
      <c r="H257" s="15">
        <f>IF(OR(E257="",C257=""),"",ROUND(G257/(C257/1000),2))</f>
        <v/>
      </c>
      <c r="I257" s="7" t="n"/>
      <c r="J257" s="7" t="n"/>
      <c r="K257" s="7" t="n"/>
      <c r="L257" s="7" t="n"/>
      <c r="M257" s="7" t="n"/>
    </row>
    <row r="258">
      <c r="A258" s="7" t="n"/>
      <c r="B258" s="12">
        <f>IFERROR(INDEX(Produkte!$B$2:$B$301,MATCH(A258,Produkte!$A$2:$A$301,0)),"")</f>
        <v/>
      </c>
      <c r="C258" s="7" t="n"/>
      <c r="D258" s="7" t="n"/>
      <c r="E258" s="16" t="n"/>
      <c r="F258" s="8" t="n"/>
      <c r="G258" s="15">
        <f>IF(E258="","",ROUND(E258*(1+F258),2))</f>
        <v/>
      </c>
      <c r="H258" s="15">
        <f>IF(OR(E258="",C258=""),"",ROUND(G258/(C258/1000),2))</f>
        <v/>
      </c>
      <c r="I258" s="7" t="n"/>
      <c r="J258" s="7" t="n"/>
      <c r="K258" s="7" t="n"/>
      <c r="L258" s="7" t="n"/>
      <c r="M258" s="7" t="n"/>
    </row>
    <row r="259">
      <c r="A259" s="7" t="n"/>
      <c r="B259" s="12">
        <f>IFERROR(INDEX(Produkte!$B$2:$B$301,MATCH(A259,Produkte!$A$2:$A$301,0)),"")</f>
        <v/>
      </c>
      <c r="C259" s="7" t="n"/>
      <c r="D259" s="7" t="n"/>
      <c r="E259" s="16" t="n"/>
      <c r="F259" s="8" t="n"/>
      <c r="G259" s="15">
        <f>IF(E259="","",ROUND(E259*(1+F259),2))</f>
        <v/>
      </c>
      <c r="H259" s="15">
        <f>IF(OR(E259="",C259=""),"",ROUND(G259/(C259/1000),2))</f>
        <v/>
      </c>
      <c r="I259" s="7" t="n"/>
      <c r="J259" s="7" t="n"/>
      <c r="K259" s="7" t="n"/>
      <c r="L259" s="7" t="n"/>
      <c r="M259" s="7" t="n"/>
    </row>
    <row r="260">
      <c r="A260" s="7" t="n"/>
      <c r="B260" s="12">
        <f>IFERROR(INDEX(Produkte!$B$2:$B$301,MATCH(A260,Produkte!$A$2:$A$301,0)),"")</f>
        <v/>
      </c>
      <c r="C260" s="7" t="n"/>
      <c r="D260" s="7" t="n"/>
      <c r="E260" s="16" t="n"/>
      <c r="F260" s="8" t="n"/>
      <c r="G260" s="15">
        <f>IF(E260="","",ROUND(E260*(1+F260),2))</f>
        <v/>
      </c>
      <c r="H260" s="15">
        <f>IF(OR(E260="",C260=""),"",ROUND(G260/(C260/1000),2))</f>
        <v/>
      </c>
      <c r="I260" s="7" t="n"/>
      <c r="J260" s="7" t="n"/>
      <c r="K260" s="7" t="n"/>
      <c r="L260" s="7" t="n"/>
      <c r="M260" s="7" t="n"/>
    </row>
    <row r="261">
      <c r="A261" s="7" t="n"/>
      <c r="B261" s="12">
        <f>IFERROR(INDEX(Produkte!$B$2:$B$301,MATCH(A261,Produkte!$A$2:$A$301,0)),"")</f>
        <v/>
      </c>
      <c r="C261" s="7" t="n"/>
      <c r="D261" s="7" t="n"/>
      <c r="E261" s="16" t="n"/>
      <c r="F261" s="8" t="n"/>
      <c r="G261" s="15">
        <f>IF(E261="","",ROUND(E261*(1+F261),2))</f>
        <v/>
      </c>
      <c r="H261" s="15">
        <f>IF(OR(E261="",C261=""),"",ROUND(G261/(C261/1000),2))</f>
        <v/>
      </c>
      <c r="I261" s="7" t="n"/>
      <c r="J261" s="7" t="n"/>
      <c r="K261" s="7" t="n"/>
      <c r="L261" s="7" t="n"/>
      <c r="M261" s="7" t="n"/>
    </row>
    <row r="262">
      <c r="A262" s="7" t="n"/>
      <c r="B262" s="12">
        <f>IFERROR(INDEX(Produkte!$B$2:$B$301,MATCH(A262,Produkte!$A$2:$A$301,0)),"")</f>
        <v/>
      </c>
      <c r="C262" s="7" t="n"/>
      <c r="D262" s="7" t="n"/>
      <c r="E262" s="16" t="n"/>
      <c r="F262" s="8" t="n"/>
      <c r="G262" s="15">
        <f>IF(E262="","",ROUND(E262*(1+F262),2))</f>
        <v/>
      </c>
      <c r="H262" s="15">
        <f>IF(OR(E262="",C262=""),"",ROUND(G262/(C262/1000),2))</f>
        <v/>
      </c>
      <c r="I262" s="7" t="n"/>
      <c r="J262" s="7" t="n"/>
      <c r="K262" s="7" t="n"/>
      <c r="L262" s="7" t="n"/>
      <c r="M262" s="7" t="n"/>
    </row>
    <row r="263">
      <c r="A263" s="7" t="n"/>
      <c r="B263" s="12">
        <f>IFERROR(INDEX(Produkte!$B$2:$B$301,MATCH(A263,Produkte!$A$2:$A$301,0)),"")</f>
        <v/>
      </c>
      <c r="C263" s="7" t="n"/>
      <c r="D263" s="7" t="n"/>
      <c r="E263" s="16" t="n"/>
      <c r="F263" s="8" t="n"/>
      <c r="G263" s="15">
        <f>IF(E263="","",ROUND(E263*(1+F263),2))</f>
        <v/>
      </c>
      <c r="H263" s="15">
        <f>IF(OR(E263="",C263=""),"",ROUND(G263/(C263/1000),2))</f>
        <v/>
      </c>
      <c r="I263" s="7" t="n"/>
      <c r="J263" s="7" t="n"/>
      <c r="K263" s="7" t="n"/>
      <c r="L263" s="7" t="n"/>
      <c r="M263" s="7" t="n"/>
    </row>
    <row r="264">
      <c r="A264" s="7" t="n"/>
      <c r="B264" s="12">
        <f>IFERROR(INDEX(Produkte!$B$2:$B$301,MATCH(A264,Produkte!$A$2:$A$301,0)),"")</f>
        <v/>
      </c>
      <c r="C264" s="7" t="n"/>
      <c r="D264" s="7" t="n"/>
      <c r="E264" s="16" t="n"/>
      <c r="F264" s="8" t="n"/>
      <c r="G264" s="15">
        <f>IF(E264="","",ROUND(E264*(1+F264),2))</f>
        <v/>
      </c>
      <c r="H264" s="15">
        <f>IF(OR(E264="",C264=""),"",ROUND(G264/(C264/1000),2))</f>
        <v/>
      </c>
      <c r="I264" s="7" t="n"/>
      <c r="J264" s="7" t="n"/>
      <c r="K264" s="7" t="n"/>
      <c r="L264" s="7" t="n"/>
      <c r="M264" s="7" t="n"/>
    </row>
    <row r="265">
      <c r="A265" s="7" t="n"/>
      <c r="B265" s="12">
        <f>IFERROR(INDEX(Produkte!$B$2:$B$301,MATCH(A265,Produkte!$A$2:$A$301,0)),"")</f>
        <v/>
      </c>
      <c r="C265" s="7" t="n"/>
      <c r="D265" s="7" t="n"/>
      <c r="E265" s="16" t="n"/>
      <c r="F265" s="8" t="n"/>
      <c r="G265" s="15">
        <f>IF(E265="","",ROUND(E265*(1+F265),2))</f>
        <v/>
      </c>
      <c r="H265" s="15">
        <f>IF(OR(E265="",C265=""),"",ROUND(G265/(C265/1000),2))</f>
        <v/>
      </c>
      <c r="I265" s="7" t="n"/>
      <c r="J265" s="7" t="n"/>
      <c r="K265" s="7" t="n"/>
      <c r="L265" s="7" t="n"/>
      <c r="M265" s="7" t="n"/>
    </row>
    <row r="266">
      <c r="A266" s="7" t="n"/>
      <c r="B266" s="12">
        <f>IFERROR(INDEX(Produkte!$B$2:$B$301,MATCH(A266,Produkte!$A$2:$A$301,0)),"")</f>
        <v/>
      </c>
      <c r="C266" s="7" t="n"/>
      <c r="D266" s="7" t="n"/>
      <c r="E266" s="16" t="n"/>
      <c r="F266" s="8" t="n"/>
      <c r="G266" s="15">
        <f>IF(E266="","",ROUND(E266*(1+F266),2))</f>
        <v/>
      </c>
      <c r="H266" s="15">
        <f>IF(OR(E266="",C266=""),"",ROUND(G266/(C266/1000),2))</f>
        <v/>
      </c>
      <c r="I266" s="7" t="n"/>
      <c r="J266" s="7" t="n"/>
      <c r="K266" s="7" t="n"/>
      <c r="L266" s="7" t="n"/>
      <c r="M266" s="7" t="n"/>
    </row>
    <row r="267">
      <c r="A267" s="7" t="n"/>
      <c r="B267" s="12">
        <f>IFERROR(INDEX(Produkte!$B$2:$B$301,MATCH(A267,Produkte!$A$2:$A$301,0)),"")</f>
        <v/>
      </c>
      <c r="C267" s="7" t="n"/>
      <c r="D267" s="7" t="n"/>
      <c r="E267" s="16" t="n"/>
      <c r="F267" s="8" t="n"/>
      <c r="G267" s="15">
        <f>IF(E267="","",ROUND(E267*(1+F267),2))</f>
        <v/>
      </c>
      <c r="H267" s="15">
        <f>IF(OR(E267="",C267=""),"",ROUND(G267/(C267/1000),2))</f>
        <v/>
      </c>
      <c r="I267" s="7" t="n"/>
      <c r="J267" s="7" t="n"/>
      <c r="K267" s="7" t="n"/>
      <c r="L267" s="7" t="n"/>
      <c r="M267" s="7" t="n"/>
    </row>
    <row r="268">
      <c r="A268" s="7" t="n"/>
      <c r="B268" s="12">
        <f>IFERROR(INDEX(Produkte!$B$2:$B$301,MATCH(A268,Produkte!$A$2:$A$301,0)),"")</f>
        <v/>
      </c>
      <c r="C268" s="7" t="n"/>
      <c r="D268" s="7" t="n"/>
      <c r="E268" s="16" t="n"/>
      <c r="F268" s="8" t="n"/>
      <c r="G268" s="15">
        <f>IF(E268="","",ROUND(E268*(1+F268),2))</f>
        <v/>
      </c>
      <c r="H268" s="15">
        <f>IF(OR(E268="",C268=""),"",ROUND(G268/(C268/1000),2))</f>
        <v/>
      </c>
      <c r="I268" s="7" t="n"/>
      <c r="J268" s="7" t="n"/>
      <c r="K268" s="7" t="n"/>
      <c r="L268" s="7" t="n"/>
      <c r="M268" s="7" t="n"/>
    </row>
    <row r="269">
      <c r="A269" s="7" t="n"/>
      <c r="B269" s="12">
        <f>IFERROR(INDEX(Produkte!$B$2:$B$301,MATCH(A269,Produkte!$A$2:$A$301,0)),"")</f>
        <v/>
      </c>
      <c r="C269" s="7" t="n"/>
      <c r="D269" s="7" t="n"/>
      <c r="E269" s="16" t="n"/>
      <c r="F269" s="8" t="n"/>
      <c r="G269" s="15">
        <f>IF(E269="","",ROUND(E269*(1+F269),2))</f>
        <v/>
      </c>
      <c r="H269" s="15">
        <f>IF(OR(E269="",C269=""),"",ROUND(G269/(C269/1000),2))</f>
        <v/>
      </c>
      <c r="I269" s="7" t="n"/>
      <c r="J269" s="7" t="n"/>
      <c r="K269" s="7" t="n"/>
      <c r="L269" s="7" t="n"/>
      <c r="M269" s="7" t="n"/>
    </row>
    <row r="270">
      <c r="A270" s="7" t="n"/>
      <c r="B270" s="12">
        <f>IFERROR(INDEX(Produkte!$B$2:$B$301,MATCH(A270,Produkte!$A$2:$A$301,0)),"")</f>
        <v/>
      </c>
      <c r="C270" s="7" t="n"/>
      <c r="D270" s="7" t="n"/>
      <c r="E270" s="16" t="n"/>
      <c r="F270" s="8" t="n"/>
      <c r="G270" s="15">
        <f>IF(E270="","",ROUND(E270*(1+F270),2))</f>
        <v/>
      </c>
      <c r="H270" s="15">
        <f>IF(OR(E270="",C270=""),"",ROUND(G270/(C270/1000),2))</f>
        <v/>
      </c>
      <c r="I270" s="7" t="n"/>
      <c r="J270" s="7" t="n"/>
      <c r="K270" s="7" t="n"/>
      <c r="L270" s="7" t="n"/>
      <c r="M270" s="7" t="n"/>
    </row>
    <row r="271">
      <c r="A271" s="7" t="n"/>
      <c r="B271" s="12">
        <f>IFERROR(INDEX(Produkte!$B$2:$B$301,MATCH(A271,Produkte!$A$2:$A$301,0)),"")</f>
        <v/>
      </c>
      <c r="C271" s="7" t="n"/>
      <c r="D271" s="7" t="n"/>
      <c r="E271" s="16" t="n"/>
      <c r="F271" s="8" t="n"/>
      <c r="G271" s="15">
        <f>IF(E271="","",ROUND(E271*(1+F271),2))</f>
        <v/>
      </c>
      <c r="H271" s="15">
        <f>IF(OR(E271="",C271=""),"",ROUND(G271/(C271/1000),2))</f>
        <v/>
      </c>
      <c r="I271" s="7" t="n"/>
      <c r="J271" s="7" t="n"/>
      <c r="K271" s="7" t="n"/>
      <c r="L271" s="7" t="n"/>
      <c r="M271" s="7" t="n"/>
    </row>
    <row r="272">
      <c r="A272" s="7" t="n"/>
      <c r="B272" s="12">
        <f>IFERROR(INDEX(Produkte!$B$2:$B$301,MATCH(A272,Produkte!$A$2:$A$301,0)),"")</f>
        <v/>
      </c>
      <c r="C272" s="7" t="n"/>
      <c r="D272" s="7" t="n"/>
      <c r="E272" s="16" t="n"/>
      <c r="F272" s="8" t="n"/>
      <c r="G272" s="15">
        <f>IF(E272="","",ROUND(E272*(1+F272),2))</f>
        <v/>
      </c>
      <c r="H272" s="15">
        <f>IF(OR(E272="",C272=""),"",ROUND(G272/(C272/1000),2))</f>
        <v/>
      </c>
      <c r="I272" s="7" t="n"/>
      <c r="J272" s="7" t="n"/>
      <c r="K272" s="7" t="n"/>
      <c r="L272" s="7" t="n"/>
      <c r="M272" s="7" t="n"/>
    </row>
    <row r="273">
      <c r="A273" s="7" t="n"/>
      <c r="B273" s="12">
        <f>IFERROR(INDEX(Produkte!$B$2:$B$301,MATCH(A273,Produkte!$A$2:$A$301,0)),"")</f>
        <v/>
      </c>
      <c r="C273" s="7" t="n"/>
      <c r="D273" s="7" t="n"/>
      <c r="E273" s="16" t="n"/>
      <c r="F273" s="8" t="n"/>
      <c r="G273" s="15">
        <f>IF(E273="","",ROUND(E273*(1+F273),2))</f>
        <v/>
      </c>
      <c r="H273" s="15">
        <f>IF(OR(E273="",C273=""),"",ROUND(G273/(C273/1000),2))</f>
        <v/>
      </c>
      <c r="I273" s="7" t="n"/>
      <c r="J273" s="7" t="n"/>
      <c r="K273" s="7" t="n"/>
      <c r="L273" s="7" t="n"/>
      <c r="M273" s="7" t="n"/>
    </row>
    <row r="274">
      <c r="A274" s="7" t="n"/>
      <c r="B274" s="12">
        <f>IFERROR(INDEX(Produkte!$B$2:$B$301,MATCH(A274,Produkte!$A$2:$A$301,0)),"")</f>
        <v/>
      </c>
      <c r="C274" s="7" t="n"/>
      <c r="D274" s="7" t="n"/>
      <c r="E274" s="16" t="n"/>
      <c r="F274" s="8" t="n"/>
      <c r="G274" s="15">
        <f>IF(E274="","",ROUND(E274*(1+F274),2))</f>
        <v/>
      </c>
      <c r="H274" s="15">
        <f>IF(OR(E274="",C274=""),"",ROUND(G274/(C274/1000),2))</f>
        <v/>
      </c>
      <c r="I274" s="7" t="n"/>
      <c r="J274" s="7" t="n"/>
      <c r="K274" s="7" t="n"/>
      <c r="L274" s="7" t="n"/>
      <c r="M274" s="7" t="n"/>
    </row>
    <row r="275">
      <c r="A275" s="7" t="n"/>
      <c r="B275" s="12">
        <f>IFERROR(INDEX(Produkte!$B$2:$B$301,MATCH(A275,Produkte!$A$2:$A$301,0)),"")</f>
        <v/>
      </c>
      <c r="C275" s="7" t="n"/>
      <c r="D275" s="7" t="n"/>
      <c r="E275" s="16" t="n"/>
      <c r="F275" s="8" t="n"/>
      <c r="G275" s="15">
        <f>IF(E275="","",ROUND(E275*(1+F275),2))</f>
        <v/>
      </c>
      <c r="H275" s="15">
        <f>IF(OR(E275="",C275=""),"",ROUND(G275/(C275/1000),2))</f>
        <v/>
      </c>
      <c r="I275" s="7" t="n"/>
      <c r="J275" s="7" t="n"/>
      <c r="K275" s="7" t="n"/>
      <c r="L275" s="7" t="n"/>
      <c r="M275" s="7" t="n"/>
    </row>
    <row r="276">
      <c r="A276" s="7" t="n"/>
      <c r="B276" s="12">
        <f>IFERROR(INDEX(Produkte!$B$2:$B$301,MATCH(A276,Produkte!$A$2:$A$301,0)),"")</f>
        <v/>
      </c>
      <c r="C276" s="7" t="n"/>
      <c r="D276" s="7" t="n"/>
      <c r="E276" s="16" t="n"/>
      <c r="F276" s="8" t="n"/>
      <c r="G276" s="15">
        <f>IF(E276="","",ROUND(E276*(1+F276),2))</f>
        <v/>
      </c>
      <c r="H276" s="15">
        <f>IF(OR(E276="",C276=""),"",ROUND(G276/(C276/1000),2))</f>
        <v/>
      </c>
      <c r="I276" s="7" t="n"/>
      <c r="J276" s="7" t="n"/>
      <c r="K276" s="7" t="n"/>
      <c r="L276" s="7" t="n"/>
      <c r="M276" s="7" t="n"/>
    </row>
    <row r="277">
      <c r="A277" s="7" t="n"/>
      <c r="B277" s="12">
        <f>IFERROR(INDEX(Produkte!$B$2:$B$301,MATCH(A277,Produkte!$A$2:$A$301,0)),"")</f>
        <v/>
      </c>
      <c r="C277" s="7" t="n"/>
      <c r="D277" s="7" t="n"/>
      <c r="E277" s="16" t="n"/>
      <c r="F277" s="8" t="n"/>
      <c r="G277" s="15">
        <f>IF(E277="","",ROUND(E277*(1+F277),2))</f>
        <v/>
      </c>
      <c r="H277" s="15">
        <f>IF(OR(E277="",C277=""),"",ROUND(G277/(C277/1000),2))</f>
        <v/>
      </c>
      <c r="I277" s="7" t="n"/>
      <c r="J277" s="7" t="n"/>
      <c r="K277" s="7" t="n"/>
      <c r="L277" s="7" t="n"/>
      <c r="M277" s="7" t="n"/>
    </row>
    <row r="278">
      <c r="A278" s="7" t="n"/>
      <c r="B278" s="12">
        <f>IFERROR(INDEX(Produkte!$B$2:$B$301,MATCH(A278,Produkte!$A$2:$A$301,0)),"")</f>
        <v/>
      </c>
      <c r="C278" s="7" t="n"/>
      <c r="D278" s="7" t="n"/>
      <c r="E278" s="16" t="n"/>
      <c r="F278" s="8" t="n"/>
      <c r="G278" s="15">
        <f>IF(E278="","",ROUND(E278*(1+F278),2))</f>
        <v/>
      </c>
      <c r="H278" s="15">
        <f>IF(OR(E278="",C278=""),"",ROUND(G278/(C278/1000),2))</f>
        <v/>
      </c>
      <c r="I278" s="7" t="n"/>
      <c r="J278" s="7" t="n"/>
      <c r="K278" s="7" t="n"/>
      <c r="L278" s="7" t="n"/>
      <c r="M278" s="7" t="n"/>
    </row>
    <row r="279">
      <c r="A279" s="7" t="n"/>
      <c r="B279" s="12">
        <f>IFERROR(INDEX(Produkte!$B$2:$B$301,MATCH(A279,Produkte!$A$2:$A$301,0)),"")</f>
        <v/>
      </c>
      <c r="C279" s="7" t="n"/>
      <c r="D279" s="7" t="n"/>
      <c r="E279" s="16" t="n"/>
      <c r="F279" s="8" t="n"/>
      <c r="G279" s="15">
        <f>IF(E279="","",ROUND(E279*(1+F279),2))</f>
        <v/>
      </c>
      <c r="H279" s="15">
        <f>IF(OR(E279="",C279=""),"",ROUND(G279/(C279/1000),2))</f>
        <v/>
      </c>
      <c r="I279" s="7" t="n"/>
      <c r="J279" s="7" t="n"/>
      <c r="K279" s="7" t="n"/>
      <c r="L279" s="7" t="n"/>
      <c r="M279" s="7" t="n"/>
    </row>
    <row r="280">
      <c r="A280" s="7" t="n"/>
      <c r="B280" s="12">
        <f>IFERROR(INDEX(Produkte!$B$2:$B$301,MATCH(A280,Produkte!$A$2:$A$301,0)),"")</f>
        <v/>
      </c>
      <c r="C280" s="7" t="n"/>
      <c r="D280" s="7" t="n"/>
      <c r="E280" s="16" t="n"/>
      <c r="F280" s="8" t="n"/>
      <c r="G280" s="15">
        <f>IF(E280="","",ROUND(E280*(1+F280),2))</f>
        <v/>
      </c>
      <c r="H280" s="15">
        <f>IF(OR(E280="",C280=""),"",ROUND(G280/(C280/1000),2))</f>
        <v/>
      </c>
      <c r="I280" s="7" t="n"/>
      <c r="J280" s="7" t="n"/>
      <c r="K280" s="7" t="n"/>
      <c r="L280" s="7" t="n"/>
      <c r="M280" s="7" t="n"/>
    </row>
    <row r="281">
      <c r="A281" s="7" t="n"/>
      <c r="B281" s="12">
        <f>IFERROR(INDEX(Produkte!$B$2:$B$301,MATCH(A281,Produkte!$A$2:$A$301,0)),"")</f>
        <v/>
      </c>
      <c r="C281" s="7" t="n"/>
      <c r="D281" s="7" t="n"/>
      <c r="E281" s="16" t="n"/>
      <c r="F281" s="8" t="n"/>
      <c r="G281" s="15">
        <f>IF(E281="","",ROUND(E281*(1+F281),2))</f>
        <v/>
      </c>
      <c r="H281" s="15">
        <f>IF(OR(E281="",C281=""),"",ROUND(G281/(C281/1000),2))</f>
        <v/>
      </c>
      <c r="I281" s="7" t="n"/>
      <c r="J281" s="7" t="n"/>
      <c r="K281" s="7" t="n"/>
      <c r="L281" s="7" t="n"/>
      <c r="M281" s="7" t="n"/>
    </row>
    <row r="282">
      <c r="A282" s="7" t="n"/>
      <c r="B282" s="12">
        <f>IFERROR(INDEX(Produkte!$B$2:$B$301,MATCH(A282,Produkte!$A$2:$A$301,0)),"")</f>
        <v/>
      </c>
      <c r="C282" s="7" t="n"/>
      <c r="D282" s="7" t="n"/>
      <c r="E282" s="16" t="n"/>
      <c r="F282" s="8" t="n"/>
      <c r="G282" s="15">
        <f>IF(E282="","",ROUND(E282*(1+F282),2))</f>
        <v/>
      </c>
      <c r="H282" s="15">
        <f>IF(OR(E282="",C282=""),"",ROUND(G282/(C282/1000),2))</f>
        <v/>
      </c>
      <c r="I282" s="7" t="n"/>
      <c r="J282" s="7" t="n"/>
      <c r="K282" s="7" t="n"/>
      <c r="L282" s="7" t="n"/>
      <c r="M282" s="7" t="n"/>
    </row>
    <row r="283">
      <c r="A283" s="7" t="n"/>
      <c r="B283" s="12">
        <f>IFERROR(INDEX(Produkte!$B$2:$B$301,MATCH(A283,Produkte!$A$2:$A$301,0)),"")</f>
        <v/>
      </c>
      <c r="C283" s="7" t="n"/>
      <c r="D283" s="7" t="n"/>
      <c r="E283" s="16" t="n"/>
      <c r="F283" s="8" t="n"/>
      <c r="G283" s="15">
        <f>IF(E283="","",ROUND(E283*(1+F283),2))</f>
        <v/>
      </c>
      <c r="H283" s="15">
        <f>IF(OR(E283="",C283=""),"",ROUND(G283/(C283/1000),2))</f>
        <v/>
      </c>
      <c r="I283" s="7" t="n"/>
      <c r="J283" s="7" t="n"/>
      <c r="K283" s="7" t="n"/>
      <c r="L283" s="7" t="n"/>
      <c r="M283" s="7" t="n"/>
    </row>
    <row r="284">
      <c r="A284" s="7" t="n"/>
      <c r="B284" s="12">
        <f>IFERROR(INDEX(Produkte!$B$2:$B$301,MATCH(A284,Produkte!$A$2:$A$301,0)),"")</f>
        <v/>
      </c>
      <c r="C284" s="7" t="n"/>
      <c r="D284" s="7" t="n"/>
      <c r="E284" s="16" t="n"/>
      <c r="F284" s="8" t="n"/>
      <c r="G284" s="15">
        <f>IF(E284="","",ROUND(E284*(1+F284),2))</f>
        <v/>
      </c>
      <c r="H284" s="15">
        <f>IF(OR(E284="",C284=""),"",ROUND(G284/(C284/1000),2))</f>
        <v/>
      </c>
      <c r="I284" s="7" t="n"/>
      <c r="J284" s="7" t="n"/>
      <c r="K284" s="7" t="n"/>
      <c r="L284" s="7" t="n"/>
      <c r="M284" s="7" t="n"/>
    </row>
    <row r="285">
      <c r="A285" s="7" t="n"/>
      <c r="B285" s="12">
        <f>IFERROR(INDEX(Produkte!$B$2:$B$301,MATCH(A285,Produkte!$A$2:$A$301,0)),"")</f>
        <v/>
      </c>
      <c r="C285" s="7" t="n"/>
      <c r="D285" s="7" t="n"/>
      <c r="E285" s="16" t="n"/>
      <c r="F285" s="8" t="n"/>
      <c r="G285" s="15">
        <f>IF(E285="","",ROUND(E285*(1+F285),2))</f>
        <v/>
      </c>
      <c r="H285" s="15">
        <f>IF(OR(E285="",C285=""),"",ROUND(G285/(C285/1000),2))</f>
        <v/>
      </c>
      <c r="I285" s="7" t="n"/>
      <c r="J285" s="7" t="n"/>
      <c r="K285" s="7" t="n"/>
      <c r="L285" s="7" t="n"/>
      <c r="M285" s="7" t="n"/>
    </row>
    <row r="286">
      <c r="A286" s="7" t="n"/>
      <c r="B286" s="12">
        <f>IFERROR(INDEX(Produkte!$B$2:$B$301,MATCH(A286,Produkte!$A$2:$A$301,0)),"")</f>
        <v/>
      </c>
      <c r="C286" s="7" t="n"/>
      <c r="D286" s="7" t="n"/>
      <c r="E286" s="16" t="n"/>
      <c r="F286" s="8" t="n"/>
      <c r="G286" s="15">
        <f>IF(E286="","",ROUND(E286*(1+F286),2))</f>
        <v/>
      </c>
      <c r="H286" s="15">
        <f>IF(OR(E286="",C286=""),"",ROUND(G286/(C286/1000),2))</f>
        <v/>
      </c>
      <c r="I286" s="7" t="n"/>
      <c r="J286" s="7" t="n"/>
      <c r="K286" s="7" t="n"/>
      <c r="L286" s="7" t="n"/>
      <c r="M286" s="7" t="n"/>
    </row>
    <row r="287">
      <c r="A287" s="7" t="n"/>
      <c r="B287" s="12">
        <f>IFERROR(INDEX(Produkte!$B$2:$B$301,MATCH(A287,Produkte!$A$2:$A$301,0)),"")</f>
        <v/>
      </c>
      <c r="C287" s="7" t="n"/>
      <c r="D287" s="7" t="n"/>
      <c r="E287" s="16" t="n"/>
      <c r="F287" s="8" t="n"/>
      <c r="G287" s="15">
        <f>IF(E287="","",ROUND(E287*(1+F287),2))</f>
        <v/>
      </c>
      <c r="H287" s="15">
        <f>IF(OR(E287="",C287=""),"",ROUND(G287/(C287/1000),2))</f>
        <v/>
      </c>
      <c r="I287" s="7" t="n"/>
      <c r="J287" s="7" t="n"/>
      <c r="K287" s="7" t="n"/>
      <c r="L287" s="7" t="n"/>
      <c r="M287" s="7" t="n"/>
    </row>
    <row r="288">
      <c r="A288" s="7" t="n"/>
      <c r="B288" s="12">
        <f>IFERROR(INDEX(Produkte!$B$2:$B$301,MATCH(A288,Produkte!$A$2:$A$301,0)),"")</f>
        <v/>
      </c>
      <c r="C288" s="7" t="n"/>
      <c r="D288" s="7" t="n"/>
      <c r="E288" s="16" t="n"/>
      <c r="F288" s="8" t="n"/>
      <c r="G288" s="15">
        <f>IF(E288="","",ROUND(E288*(1+F288),2))</f>
        <v/>
      </c>
      <c r="H288" s="15">
        <f>IF(OR(E288="",C288=""),"",ROUND(G288/(C288/1000),2))</f>
        <v/>
      </c>
      <c r="I288" s="7" t="n"/>
      <c r="J288" s="7" t="n"/>
      <c r="K288" s="7" t="n"/>
      <c r="L288" s="7" t="n"/>
      <c r="M288" s="7" t="n"/>
    </row>
    <row r="289">
      <c r="A289" s="7" t="n"/>
      <c r="B289" s="12">
        <f>IFERROR(INDEX(Produkte!$B$2:$B$301,MATCH(A289,Produkte!$A$2:$A$301,0)),"")</f>
        <v/>
      </c>
      <c r="C289" s="7" t="n"/>
      <c r="D289" s="7" t="n"/>
      <c r="E289" s="16" t="n"/>
      <c r="F289" s="8" t="n"/>
      <c r="G289" s="15">
        <f>IF(E289="","",ROUND(E289*(1+F289),2))</f>
        <v/>
      </c>
      <c r="H289" s="15">
        <f>IF(OR(E289="",C289=""),"",ROUND(G289/(C289/1000),2))</f>
        <v/>
      </c>
      <c r="I289" s="7" t="n"/>
      <c r="J289" s="7" t="n"/>
      <c r="K289" s="7" t="n"/>
      <c r="L289" s="7" t="n"/>
      <c r="M289" s="7" t="n"/>
    </row>
    <row r="290">
      <c r="A290" s="7" t="n"/>
      <c r="B290" s="12">
        <f>IFERROR(INDEX(Produkte!$B$2:$B$301,MATCH(A290,Produkte!$A$2:$A$301,0)),"")</f>
        <v/>
      </c>
      <c r="C290" s="7" t="n"/>
      <c r="D290" s="7" t="n"/>
      <c r="E290" s="16" t="n"/>
      <c r="F290" s="8" t="n"/>
      <c r="G290" s="15">
        <f>IF(E290="","",ROUND(E290*(1+F290),2))</f>
        <v/>
      </c>
      <c r="H290" s="15">
        <f>IF(OR(E290="",C290=""),"",ROUND(G290/(C290/1000),2))</f>
        <v/>
      </c>
      <c r="I290" s="7" t="n"/>
      <c r="J290" s="7" t="n"/>
      <c r="K290" s="7" t="n"/>
      <c r="L290" s="7" t="n"/>
      <c r="M290" s="7" t="n"/>
    </row>
    <row r="291">
      <c r="A291" s="7" t="n"/>
      <c r="B291" s="12">
        <f>IFERROR(INDEX(Produkte!$B$2:$B$301,MATCH(A291,Produkte!$A$2:$A$301,0)),"")</f>
        <v/>
      </c>
      <c r="C291" s="7" t="n"/>
      <c r="D291" s="7" t="n"/>
      <c r="E291" s="16" t="n"/>
      <c r="F291" s="8" t="n"/>
      <c r="G291" s="15">
        <f>IF(E291="","",ROUND(E291*(1+F291),2))</f>
        <v/>
      </c>
      <c r="H291" s="15">
        <f>IF(OR(E291="",C291=""),"",ROUND(G291/(C291/1000),2))</f>
        <v/>
      </c>
      <c r="I291" s="7" t="n"/>
      <c r="J291" s="7" t="n"/>
      <c r="K291" s="7" t="n"/>
      <c r="L291" s="7" t="n"/>
      <c r="M291" s="7" t="n"/>
    </row>
    <row r="292">
      <c r="A292" s="7" t="n"/>
      <c r="B292" s="12">
        <f>IFERROR(INDEX(Produkte!$B$2:$B$301,MATCH(A292,Produkte!$A$2:$A$301,0)),"")</f>
        <v/>
      </c>
      <c r="C292" s="7" t="n"/>
      <c r="D292" s="7" t="n"/>
      <c r="E292" s="16" t="n"/>
      <c r="F292" s="8" t="n"/>
      <c r="G292" s="15">
        <f>IF(E292="","",ROUND(E292*(1+F292),2))</f>
        <v/>
      </c>
      <c r="H292" s="15">
        <f>IF(OR(E292="",C292=""),"",ROUND(G292/(C292/1000),2))</f>
        <v/>
      </c>
      <c r="I292" s="7" t="n"/>
      <c r="J292" s="7" t="n"/>
      <c r="K292" s="7" t="n"/>
      <c r="L292" s="7" t="n"/>
      <c r="M292" s="7" t="n"/>
    </row>
    <row r="293">
      <c r="A293" s="7" t="n"/>
      <c r="B293" s="12">
        <f>IFERROR(INDEX(Produkte!$B$2:$B$301,MATCH(A293,Produkte!$A$2:$A$301,0)),"")</f>
        <v/>
      </c>
      <c r="C293" s="7" t="n"/>
      <c r="D293" s="7" t="n"/>
      <c r="E293" s="16" t="n"/>
      <c r="F293" s="8" t="n"/>
      <c r="G293" s="15">
        <f>IF(E293="","",ROUND(E293*(1+F293),2))</f>
        <v/>
      </c>
      <c r="H293" s="15">
        <f>IF(OR(E293="",C293=""),"",ROUND(G293/(C293/1000),2))</f>
        <v/>
      </c>
      <c r="I293" s="7" t="n"/>
      <c r="J293" s="7" t="n"/>
      <c r="K293" s="7" t="n"/>
      <c r="L293" s="7" t="n"/>
      <c r="M293" s="7" t="n"/>
    </row>
    <row r="294">
      <c r="A294" s="7" t="n"/>
      <c r="B294" s="12">
        <f>IFERROR(INDEX(Produkte!$B$2:$B$301,MATCH(A294,Produkte!$A$2:$A$301,0)),"")</f>
        <v/>
      </c>
      <c r="C294" s="7" t="n"/>
      <c r="D294" s="7" t="n"/>
      <c r="E294" s="16" t="n"/>
      <c r="F294" s="8" t="n"/>
      <c r="G294" s="15">
        <f>IF(E294="","",ROUND(E294*(1+F294),2))</f>
        <v/>
      </c>
      <c r="H294" s="15">
        <f>IF(OR(E294="",C294=""),"",ROUND(G294/(C294/1000),2))</f>
        <v/>
      </c>
      <c r="I294" s="7" t="n"/>
      <c r="J294" s="7" t="n"/>
      <c r="K294" s="7" t="n"/>
      <c r="L294" s="7" t="n"/>
      <c r="M294" s="7" t="n"/>
    </row>
    <row r="295">
      <c r="A295" s="7" t="n"/>
      <c r="B295" s="12">
        <f>IFERROR(INDEX(Produkte!$B$2:$B$301,MATCH(A295,Produkte!$A$2:$A$301,0)),"")</f>
        <v/>
      </c>
      <c r="C295" s="7" t="n"/>
      <c r="D295" s="7" t="n"/>
      <c r="E295" s="16" t="n"/>
      <c r="F295" s="8" t="n"/>
      <c r="G295" s="15">
        <f>IF(E295="","",ROUND(E295*(1+F295),2))</f>
        <v/>
      </c>
      <c r="H295" s="15">
        <f>IF(OR(E295="",C295=""),"",ROUND(G295/(C295/1000),2))</f>
        <v/>
      </c>
      <c r="I295" s="7" t="n"/>
      <c r="J295" s="7" t="n"/>
      <c r="K295" s="7" t="n"/>
      <c r="L295" s="7" t="n"/>
      <c r="M295" s="7" t="n"/>
    </row>
    <row r="296">
      <c r="A296" s="7" t="n"/>
      <c r="B296" s="12">
        <f>IFERROR(INDEX(Produkte!$B$2:$B$301,MATCH(A296,Produkte!$A$2:$A$301,0)),"")</f>
        <v/>
      </c>
      <c r="C296" s="7" t="n"/>
      <c r="D296" s="7" t="n"/>
      <c r="E296" s="16" t="n"/>
      <c r="F296" s="8" t="n"/>
      <c r="G296" s="15">
        <f>IF(E296="","",ROUND(E296*(1+F296),2))</f>
        <v/>
      </c>
      <c r="H296" s="15">
        <f>IF(OR(E296="",C296=""),"",ROUND(G296/(C296/1000),2))</f>
        <v/>
      </c>
      <c r="I296" s="7" t="n"/>
      <c r="J296" s="7" t="n"/>
      <c r="K296" s="7" t="n"/>
      <c r="L296" s="7" t="n"/>
      <c r="M296" s="7" t="n"/>
    </row>
    <row r="297">
      <c r="A297" s="7" t="n"/>
      <c r="B297" s="12">
        <f>IFERROR(INDEX(Produkte!$B$2:$B$301,MATCH(A297,Produkte!$A$2:$A$301,0)),"")</f>
        <v/>
      </c>
      <c r="C297" s="7" t="n"/>
      <c r="D297" s="7" t="n"/>
      <c r="E297" s="16" t="n"/>
      <c r="F297" s="8" t="n"/>
      <c r="G297" s="15">
        <f>IF(E297="","",ROUND(E297*(1+F297),2))</f>
        <v/>
      </c>
      <c r="H297" s="15">
        <f>IF(OR(E297="",C297=""),"",ROUND(G297/(C297/1000),2))</f>
        <v/>
      </c>
      <c r="I297" s="7" t="n"/>
      <c r="J297" s="7" t="n"/>
      <c r="K297" s="7" t="n"/>
      <c r="L297" s="7" t="n"/>
      <c r="M297" s="7" t="n"/>
    </row>
    <row r="298">
      <c r="A298" s="7" t="n"/>
      <c r="B298" s="12">
        <f>IFERROR(INDEX(Produkte!$B$2:$B$301,MATCH(A298,Produkte!$A$2:$A$301,0)),"")</f>
        <v/>
      </c>
      <c r="C298" s="7" t="n"/>
      <c r="D298" s="7" t="n"/>
      <c r="E298" s="16" t="n"/>
      <c r="F298" s="8" t="n"/>
      <c r="G298" s="15">
        <f>IF(E298="","",ROUND(E298*(1+F298),2))</f>
        <v/>
      </c>
      <c r="H298" s="15">
        <f>IF(OR(E298="",C298=""),"",ROUND(G298/(C298/1000),2))</f>
        <v/>
      </c>
      <c r="I298" s="7" t="n"/>
      <c r="J298" s="7" t="n"/>
      <c r="K298" s="7" t="n"/>
      <c r="L298" s="7" t="n"/>
      <c r="M298" s="7" t="n"/>
    </row>
    <row r="299">
      <c r="A299" s="7" t="n"/>
      <c r="B299" s="12">
        <f>IFERROR(INDEX(Produkte!$B$2:$B$301,MATCH(A299,Produkte!$A$2:$A$301,0)),"")</f>
        <v/>
      </c>
      <c r="C299" s="7" t="n"/>
      <c r="D299" s="7" t="n"/>
      <c r="E299" s="16" t="n"/>
      <c r="F299" s="8" t="n"/>
      <c r="G299" s="15">
        <f>IF(E299="","",ROUND(E299*(1+F299),2))</f>
        <v/>
      </c>
      <c r="H299" s="15">
        <f>IF(OR(E299="",C299=""),"",ROUND(G299/(C299/1000),2))</f>
        <v/>
      </c>
      <c r="I299" s="7" t="n"/>
      <c r="J299" s="7" t="n"/>
      <c r="K299" s="7" t="n"/>
      <c r="L299" s="7" t="n"/>
      <c r="M299" s="7" t="n"/>
    </row>
    <row r="300">
      <c r="A300" s="7" t="n"/>
      <c r="B300" s="12">
        <f>IFERROR(INDEX(Produkte!$B$2:$B$301,MATCH(A300,Produkte!$A$2:$A$301,0)),"")</f>
        <v/>
      </c>
      <c r="C300" s="7" t="n"/>
      <c r="D300" s="7" t="n"/>
      <c r="E300" s="16" t="n"/>
      <c r="F300" s="8" t="n"/>
      <c r="G300" s="15">
        <f>IF(E300="","",ROUND(E300*(1+F300),2))</f>
        <v/>
      </c>
      <c r="H300" s="15">
        <f>IF(OR(E300="",C300=""),"",ROUND(G300/(C300/1000),2))</f>
        <v/>
      </c>
      <c r="I300" s="7" t="n"/>
      <c r="J300" s="7" t="n"/>
      <c r="K300" s="7" t="n"/>
      <c r="L300" s="7" t="n"/>
      <c r="M300" s="7" t="n"/>
    </row>
    <row r="301">
      <c r="A301" s="7" t="n"/>
      <c r="B301" s="12">
        <f>IFERROR(INDEX(Produkte!$B$2:$B$301,MATCH(A301,Produkte!$A$2:$A$301,0)),"")</f>
        <v/>
      </c>
      <c r="C301" s="7" t="n"/>
      <c r="D301" s="7" t="n"/>
      <c r="E301" s="16" t="n"/>
      <c r="F301" s="8" t="n"/>
      <c r="G301" s="15">
        <f>IF(E301="","",ROUND(E301*(1+F301),2))</f>
        <v/>
      </c>
      <c r="H301" s="15">
        <f>IF(OR(E301="",C301=""),"",ROUND(G301/(C301/1000),2))</f>
        <v/>
      </c>
      <c r="I301" s="7" t="n"/>
      <c r="J301" s="7" t="n"/>
      <c r="K301" s="7" t="n"/>
      <c r="L301" s="7" t="n"/>
      <c r="M301" s="7" t="n"/>
    </row>
  </sheetData>
  <autoFilter ref="A1:M301"/>
  <dataValidations count="4">
    <dataValidation sqref="A2:A301" showDropDown="0" showInputMessage="0" showErrorMessage="0" allowBlank="1" type="list">
      <formula1>=Produkte!$A$2:$A$301</formula1>
    </dataValidation>
    <dataValidation sqref="C2:C301" showDropDown="0" showInputMessage="0" showErrorMessage="0" allowBlank="1" type="list">
      <formula1>=Listen!$C$2:$C$41</formula1>
    </dataValidation>
    <dataValidation sqref="F2:F301" showDropDown="0" showInputMessage="0" showErrorMessage="0" allowBlank="1" type="list">
      <formula1>=Listen!$D$2:$D$41</formula1>
    </dataValidation>
    <dataValidation sqref="L2:L301" showDropDown="0" showInputMessage="0" showErrorMessage="0" allowBlank="1" type="list">
      <formula1>=Listen!$G$2:$G$41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4" customWidth="1" min="4" max="4"/>
    <col width="12" customWidth="1" min="5" max="5"/>
    <col width="16" customWidth="1" min="6" max="6"/>
    <col width="12" customWidth="1" min="7" max="7"/>
    <col width="12" customWidth="1" min="8" max="8"/>
    <col width="20" customWidth="1" min="9" max="9"/>
    <col width="16" customWidth="1" min="10" max="10"/>
    <col width="12" customWidth="1" min="11" max="11"/>
    <col width="18" customWidth="1" min="12" max="12"/>
    <col width="30" customWidth="1" min="13" max="13"/>
  </cols>
  <sheetData>
    <row r="1" ht="32" customHeight="1">
      <c r="A1" s="10" t="inlineStr">
        <is>
          <t>Fassnummer</t>
        </is>
      </c>
      <c r="B1" s="10" t="inlineStr">
        <is>
          <t>Artikelnummer (SKU) Inhalt</t>
        </is>
      </c>
      <c r="C1" s="10" t="inlineStr">
        <is>
          <t>Produktname (automatisch)</t>
        </is>
      </c>
      <c r="D1" s="10" t="inlineStr">
        <is>
          <t>Material</t>
        </is>
      </c>
      <c r="E1" s="10" t="inlineStr">
        <is>
          <t>Volumen (l)</t>
        </is>
      </c>
      <c r="F1" s="10" t="inlineStr">
        <is>
          <t>Füllstand aktuell (l)</t>
        </is>
      </c>
      <c r="G1" s="10" t="inlineStr">
        <is>
          <t>Alkohol % vol</t>
        </is>
      </c>
      <c r="H1" s="10" t="inlineStr">
        <is>
          <t>Befüllt am</t>
        </is>
      </c>
      <c r="I1" s="10" t="inlineStr">
        <is>
          <t>Maische-/Brennchar­ge</t>
        </is>
      </c>
      <c r="J1" s="10" t="inlineStr">
        <is>
          <t>Lagerort</t>
        </is>
      </c>
      <c r="K1" s="10" t="inlineStr">
        <is>
          <t>Status</t>
        </is>
      </c>
      <c r="L1" s="10" t="inlineStr">
        <is>
          <t>Restmenge Flaschen 500 ml (automatisch)</t>
        </is>
      </c>
      <c r="M1" s="10" t="inlineStr">
        <is>
          <t>Bemerkung</t>
        </is>
      </c>
    </row>
    <row r="2">
      <c r="A2" s="11" t="inlineStr">
        <is>
          <t>F-017</t>
        </is>
      </c>
      <c r="B2" s="11" t="inlineStr">
        <is>
          <t>APF-BRD-001</t>
        </is>
      </c>
      <c r="C2" s="12">
        <f>IFERROR(INDEX(Produkte!$B$2:$B$301,MATCH(B2,Produkte!$A$2:$A$301,0)),"")</f>
        <v/>
      </c>
      <c r="D2" s="11" t="inlineStr">
        <is>
          <t>Edelstahl</t>
        </is>
      </c>
      <c r="E2" s="11" t="n">
        <v>300</v>
      </c>
      <c r="F2" s="11" t="n">
        <v>212</v>
      </c>
      <c r="G2" s="11" t="n">
        <v>41.5</v>
      </c>
      <c r="H2" s="17" t="inlineStr">
        <is>
          <t>15.11.2025</t>
        </is>
      </c>
      <c r="I2" s="11" t="inlineStr">
        <is>
          <t>M-2025-08</t>
        </is>
      </c>
      <c r="J2" s="11" t="inlineStr">
        <is>
          <t>Fasslager links</t>
        </is>
      </c>
      <c r="K2" s="11" t="inlineStr">
        <is>
          <t>aktiv</t>
        </is>
      </c>
      <c r="L2" s="12">
        <f>IF(F2="","",INT(F2/0.5))</f>
        <v/>
      </c>
      <c r="M2" s="11" t="inlineStr">
        <is>
          <t>Beispielzeile – bitte überschreiben</t>
        </is>
      </c>
    </row>
    <row r="3">
      <c r="A3" s="7" t="n"/>
      <c r="B3" s="7" t="n"/>
      <c r="C3" s="12">
        <f>IFERROR(INDEX(Produkte!$B$2:$B$301,MATCH(B3,Produkte!$A$2:$A$301,0)),"")</f>
        <v/>
      </c>
      <c r="D3" s="7" t="n"/>
      <c r="E3" s="7" t="n"/>
      <c r="F3" s="7" t="n"/>
      <c r="G3" s="7" t="n"/>
      <c r="H3" s="18" t="n"/>
      <c r="I3" s="7" t="n"/>
      <c r="J3" s="7" t="n"/>
      <c r="K3" s="7" t="n"/>
      <c r="L3" s="12">
        <f>IF(F3="","",INT(F3/0.5))</f>
        <v/>
      </c>
      <c r="M3" s="7" t="n"/>
    </row>
    <row r="4">
      <c r="A4" s="7" t="n"/>
      <c r="B4" s="7" t="n"/>
      <c r="C4" s="12">
        <f>IFERROR(INDEX(Produkte!$B$2:$B$301,MATCH(B4,Produkte!$A$2:$A$301,0)),"")</f>
        <v/>
      </c>
      <c r="D4" s="7" t="n"/>
      <c r="E4" s="7" t="n"/>
      <c r="F4" s="7" t="n"/>
      <c r="G4" s="7" t="n"/>
      <c r="H4" s="18" t="n"/>
      <c r="I4" s="7" t="n"/>
      <c r="J4" s="7" t="n"/>
      <c r="K4" s="7" t="n"/>
      <c r="L4" s="12">
        <f>IF(F4="","",INT(F4/0.5))</f>
        <v/>
      </c>
      <c r="M4" s="7" t="n"/>
    </row>
    <row r="5">
      <c r="A5" s="7" t="n"/>
      <c r="B5" s="7" t="n"/>
      <c r="C5" s="12">
        <f>IFERROR(INDEX(Produkte!$B$2:$B$301,MATCH(B5,Produkte!$A$2:$A$301,0)),"")</f>
        <v/>
      </c>
      <c r="D5" s="7" t="n"/>
      <c r="E5" s="7" t="n"/>
      <c r="F5" s="7" t="n"/>
      <c r="G5" s="7" t="n"/>
      <c r="H5" s="18" t="n"/>
      <c r="I5" s="7" t="n"/>
      <c r="J5" s="7" t="n"/>
      <c r="K5" s="7" t="n"/>
      <c r="L5" s="12">
        <f>IF(F5="","",INT(F5/0.5))</f>
        <v/>
      </c>
      <c r="M5" s="7" t="n"/>
    </row>
    <row r="6">
      <c r="A6" s="7" t="n"/>
      <c r="B6" s="7" t="n"/>
      <c r="C6" s="12">
        <f>IFERROR(INDEX(Produkte!$B$2:$B$301,MATCH(B6,Produkte!$A$2:$A$301,0)),"")</f>
        <v/>
      </c>
      <c r="D6" s="7" t="n"/>
      <c r="E6" s="7" t="n"/>
      <c r="F6" s="7" t="n"/>
      <c r="G6" s="7" t="n"/>
      <c r="H6" s="18" t="n"/>
      <c r="I6" s="7" t="n"/>
      <c r="J6" s="7" t="n"/>
      <c r="K6" s="7" t="n"/>
      <c r="L6" s="12">
        <f>IF(F6="","",INT(F6/0.5))</f>
        <v/>
      </c>
      <c r="M6" s="7" t="n"/>
    </row>
    <row r="7">
      <c r="A7" s="7" t="n"/>
      <c r="B7" s="7" t="n"/>
      <c r="C7" s="12">
        <f>IFERROR(INDEX(Produkte!$B$2:$B$301,MATCH(B7,Produkte!$A$2:$A$301,0)),"")</f>
        <v/>
      </c>
      <c r="D7" s="7" t="n"/>
      <c r="E7" s="7" t="n"/>
      <c r="F7" s="7" t="n"/>
      <c r="G7" s="7" t="n"/>
      <c r="H7" s="18" t="n"/>
      <c r="I7" s="7" t="n"/>
      <c r="J7" s="7" t="n"/>
      <c r="K7" s="7" t="n"/>
      <c r="L7" s="12">
        <f>IF(F7="","",INT(F7/0.5))</f>
        <v/>
      </c>
      <c r="M7" s="7" t="n"/>
    </row>
    <row r="8">
      <c r="A8" s="7" t="n"/>
      <c r="B8" s="7" t="n"/>
      <c r="C8" s="12">
        <f>IFERROR(INDEX(Produkte!$B$2:$B$301,MATCH(B8,Produkte!$A$2:$A$301,0)),"")</f>
        <v/>
      </c>
      <c r="D8" s="7" t="n"/>
      <c r="E8" s="7" t="n"/>
      <c r="F8" s="7" t="n"/>
      <c r="G8" s="7" t="n"/>
      <c r="H8" s="18" t="n"/>
      <c r="I8" s="7" t="n"/>
      <c r="J8" s="7" t="n"/>
      <c r="K8" s="7" t="n"/>
      <c r="L8" s="12">
        <f>IF(F8="","",INT(F8/0.5))</f>
        <v/>
      </c>
      <c r="M8" s="7" t="n"/>
    </row>
    <row r="9">
      <c r="A9" s="7" t="n"/>
      <c r="B9" s="7" t="n"/>
      <c r="C9" s="12">
        <f>IFERROR(INDEX(Produkte!$B$2:$B$301,MATCH(B9,Produkte!$A$2:$A$301,0)),"")</f>
        <v/>
      </c>
      <c r="D9" s="7" t="n"/>
      <c r="E9" s="7" t="n"/>
      <c r="F9" s="7" t="n"/>
      <c r="G9" s="7" t="n"/>
      <c r="H9" s="18" t="n"/>
      <c r="I9" s="7" t="n"/>
      <c r="J9" s="7" t="n"/>
      <c r="K9" s="7" t="n"/>
      <c r="L9" s="12">
        <f>IF(F9="","",INT(F9/0.5))</f>
        <v/>
      </c>
      <c r="M9" s="7" t="n"/>
    </row>
    <row r="10">
      <c r="A10" s="7" t="n"/>
      <c r="B10" s="7" t="n"/>
      <c r="C10" s="12">
        <f>IFERROR(INDEX(Produkte!$B$2:$B$301,MATCH(B10,Produkte!$A$2:$A$301,0)),"")</f>
        <v/>
      </c>
      <c r="D10" s="7" t="n"/>
      <c r="E10" s="7" t="n"/>
      <c r="F10" s="7" t="n"/>
      <c r="G10" s="7" t="n"/>
      <c r="H10" s="18" t="n"/>
      <c r="I10" s="7" t="n"/>
      <c r="J10" s="7" t="n"/>
      <c r="K10" s="7" t="n"/>
      <c r="L10" s="12">
        <f>IF(F10="","",INT(F10/0.5))</f>
        <v/>
      </c>
      <c r="M10" s="7" t="n"/>
    </row>
    <row r="11">
      <c r="A11" s="7" t="n"/>
      <c r="B11" s="7" t="n"/>
      <c r="C11" s="12">
        <f>IFERROR(INDEX(Produkte!$B$2:$B$301,MATCH(B11,Produkte!$A$2:$A$301,0)),"")</f>
        <v/>
      </c>
      <c r="D11" s="7" t="n"/>
      <c r="E11" s="7" t="n"/>
      <c r="F11" s="7" t="n"/>
      <c r="G11" s="7" t="n"/>
      <c r="H11" s="18" t="n"/>
      <c r="I11" s="7" t="n"/>
      <c r="J11" s="7" t="n"/>
      <c r="K11" s="7" t="n"/>
      <c r="L11" s="12">
        <f>IF(F11="","",INT(F11/0.5))</f>
        <v/>
      </c>
      <c r="M11" s="7" t="n"/>
    </row>
    <row r="12">
      <c r="A12" s="7" t="n"/>
      <c r="B12" s="7" t="n"/>
      <c r="C12" s="12">
        <f>IFERROR(INDEX(Produkte!$B$2:$B$301,MATCH(B12,Produkte!$A$2:$A$301,0)),"")</f>
        <v/>
      </c>
      <c r="D12" s="7" t="n"/>
      <c r="E12" s="7" t="n"/>
      <c r="F12" s="7" t="n"/>
      <c r="G12" s="7" t="n"/>
      <c r="H12" s="18" t="n"/>
      <c r="I12" s="7" t="n"/>
      <c r="J12" s="7" t="n"/>
      <c r="K12" s="7" t="n"/>
      <c r="L12" s="12">
        <f>IF(F12="","",INT(F12/0.5))</f>
        <v/>
      </c>
      <c r="M12" s="7" t="n"/>
    </row>
    <row r="13">
      <c r="A13" s="7" t="n"/>
      <c r="B13" s="7" t="n"/>
      <c r="C13" s="12">
        <f>IFERROR(INDEX(Produkte!$B$2:$B$301,MATCH(B13,Produkte!$A$2:$A$301,0)),"")</f>
        <v/>
      </c>
      <c r="D13" s="7" t="n"/>
      <c r="E13" s="7" t="n"/>
      <c r="F13" s="7" t="n"/>
      <c r="G13" s="7" t="n"/>
      <c r="H13" s="18" t="n"/>
      <c r="I13" s="7" t="n"/>
      <c r="J13" s="7" t="n"/>
      <c r="K13" s="7" t="n"/>
      <c r="L13" s="12">
        <f>IF(F13="","",INT(F13/0.5))</f>
        <v/>
      </c>
      <c r="M13" s="7" t="n"/>
    </row>
    <row r="14">
      <c r="A14" s="7" t="n"/>
      <c r="B14" s="7" t="n"/>
      <c r="C14" s="12">
        <f>IFERROR(INDEX(Produkte!$B$2:$B$301,MATCH(B14,Produkte!$A$2:$A$301,0)),"")</f>
        <v/>
      </c>
      <c r="D14" s="7" t="n"/>
      <c r="E14" s="7" t="n"/>
      <c r="F14" s="7" t="n"/>
      <c r="G14" s="7" t="n"/>
      <c r="H14" s="18" t="n"/>
      <c r="I14" s="7" t="n"/>
      <c r="J14" s="7" t="n"/>
      <c r="K14" s="7" t="n"/>
      <c r="L14" s="12">
        <f>IF(F14="","",INT(F14/0.5))</f>
        <v/>
      </c>
      <c r="M14" s="7" t="n"/>
    </row>
    <row r="15">
      <c r="A15" s="7" t="n"/>
      <c r="B15" s="7" t="n"/>
      <c r="C15" s="12">
        <f>IFERROR(INDEX(Produkte!$B$2:$B$301,MATCH(B15,Produkte!$A$2:$A$301,0)),"")</f>
        <v/>
      </c>
      <c r="D15" s="7" t="n"/>
      <c r="E15" s="7" t="n"/>
      <c r="F15" s="7" t="n"/>
      <c r="G15" s="7" t="n"/>
      <c r="H15" s="18" t="n"/>
      <c r="I15" s="7" t="n"/>
      <c r="J15" s="7" t="n"/>
      <c r="K15" s="7" t="n"/>
      <c r="L15" s="12">
        <f>IF(F15="","",INT(F15/0.5))</f>
        <v/>
      </c>
      <c r="M15" s="7" t="n"/>
    </row>
    <row r="16">
      <c r="A16" s="7" t="n"/>
      <c r="B16" s="7" t="n"/>
      <c r="C16" s="12">
        <f>IFERROR(INDEX(Produkte!$B$2:$B$301,MATCH(B16,Produkte!$A$2:$A$301,0)),"")</f>
        <v/>
      </c>
      <c r="D16" s="7" t="n"/>
      <c r="E16" s="7" t="n"/>
      <c r="F16" s="7" t="n"/>
      <c r="G16" s="7" t="n"/>
      <c r="H16" s="18" t="n"/>
      <c r="I16" s="7" t="n"/>
      <c r="J16" s="7" t="n"/>
      <c r="K16" s="7" t="n"/>
      <c r="L16" s="12">
        <f>IF(F16="","",INT(F16/0.5))</f>
        <v/>
      </c>
      <c r="M16" s="7" t="n"/>
    </row>
    <row r="17">
      <c r="A17" s="7" t="n"/>
      <c r="B17" s="7" t="n"/>
      <c r="C17" s="12">
        <f>IFERROR(INDEX(Produkte!$B$2:$B$301,MATCH(B17,Produkte!$A$2:$A$301,0)),"")</f>
        <v/>
      </c>
      <c r="D17" s="7" t="n"/>
      <c r="E17" s="7" t="n"/>
      <c r="F17" s="7" t="n"/>
      <c r="G17" s="7" t="n"/>
      <c r="H17" s="18" t="n"/>
      <c r="I17" s="7" t="n"/>
      <c r="J17" s="7" t="n"/>
      <c r="K17" s="7" t="n"/>
      <c r="L17" s="12">
        <f>IF(F17="","",INT(F17/0.5))</f>
        <v/>
      </c>
      <c r="M17" s="7" t="n"/>
    </row>
    <row r="18">
      <c r="A18" s="7" t="n"/>
      <c r="B18" s="7" t="n"/>
      <c r="C18" s="12">
        <f>IFERROR(INDEX(Produkte!$B$2:$B$301,MATCH(B18,Produkte!$A$2:$A$301,0)),"")</f>
        <v/>
      </c>
      <c r="D18" s="7" t="n"/>
      <c r="E18" s="7" t="n"/>
      <c r="F18" s="7" t="n"/>
      <c r="G18" s="7" t="n"/>
      <c r="H18" s="18" t="n"/>
      <c r="I18" s="7" t="n"/>
      <c r="J18" s="7" t="n"/>
      <c r="K18" s="7" t="n"/>
      <c r="L18" s="12">
        <f>IF(F18="","",INT(F18/0.5))</f>
        <v/>
      </c>
      <c r="M18" s="7" t="n"/>
    </row>
    <row r="19">
      <c r="A19" s="7" t="n"/>
      <c r="B19" s="7" t="n"/>
      <c r="C19" s="12">
        <f>IFERROR(INDEX(Produkte!$B$2:$B$301,MATCH(B19,Produkte!$A$2:$A$301,0)),"")</f>
        <v/>
      </c>
      <c r="D19" s="7" t="n"/>
      <c r="E19" s="7" t="n"/>
      <c r="F19" s="7" t="n"/>
      <c r="G19" s="7" t="n"/>
      <c r="H19" s="18" t="n"/>
      <c r="I19" s="7" t="n"/>
      <c r="J19" s="7" t="n"/>
      <c r="K19" s="7" t="n"/>
      <c r="L19" s="12">
        <f>IF(F19="","",INT(F19/0.5))</f>
        <v/>
      </c>
      <c r="M19" s="7" t="n"/>
    </row>
    <row r="20">
      <c r="A20" s="7" t="n"/>
      <c r="B20" s="7" t="n"/>
      <c r="C20" s="12">
        <f>IFERROR(INDEX(Produkte!$B$2:$B$301,MATCH(B20,Produkte!$A$2:$A$301,0)),"")</f>
        <v/>
      </c>
      <c r="D20" s="7" t="n"/>
      <c r="E20" s="7" t="n"/>
      <c r="F20" s="7" t="n"/>
      <c r="G20" s="7" t="n"/>
      <c r="H20" s="18" t="n"/>
      <c r="I20" s="7" t="n"/>
      <c r="J20" s="7" t="n"/>
      <c r="K20" s="7" t="n"/>
      <c r="L20" s="12">
        <f>IF(F20="","",INT(F20/0.5))</f>
        <v/>
      </c>
      <c r="M20" s="7" t="n"/>
    </row>
    <row r="21">
      <c r="A21" s="7" t="n"/>
      <c r="B21" s="7" t="n"/>
      <c r="C21" s="12">
        <f>IFERROR(INDEX(Produkte!$B$2:$B$301,MATCH(B21,Produkte!$A$2:$A$301,0)),"")</f>
        <v/>
      </c>
      <c r="D21" s="7" t="n"/>
      <c r="E21" s="7" t="n"/>
      <c r="F21" s="7" t="n"/>
      <c r="G21" s="7" t="n"/>
      <c r="H21" s="18" t="n"/>
      <c r="I21" s="7" t="n"/>
      <c r="J21" s="7" t="n"/>
      <c r="K21" s="7" t="n"/>
      <c r="L21" s="12">
        <f>IF(F21="","",INT(F21/0.5))</f>
        <v/>
      </c>
      <c r="M21" s="7" t="n"/>
    </row>
    <row r="22">
      <c r="A22" s="7" t="n"/>
      <c r="B22" s="7" t="n"/>
      <c r="C22" s="12">
        <f>IFERROR(INDEX(Produkte!$B$2:$B$301,MATCH(B22,Produkte!$A$2:$A$301,0)),"")</f>
        <v/>
      </c>
      <c r="D22" s="7" t="n"/>
      <c r="E22" s="7" t="n"/>
      <c r="F22" s="7" t="n"/>
      <c r="G22" s="7" t="n"/>
      <c r="H22" s="18" t="n"/>
      <c r="I22" s="7" t="n"/>
      <c r="J22" s="7" t="n"/>
      <c r="K22" s="7" t="n"/>
      <c r="L22" s="12">
        <f>IF(F22="","",INT(F22/0.5))</f>
        <v/>
      </c>
      <c r="M22" s="7" t="n"/>
    </row>
    <row r="23">
      <c r="A23" s="7" t="n"/>
      <c r="B23" s="7" t="n"/>
      <c r="C23" s="12">
        <f>IFERROR(INDEX(Produkte!$B$2:$B$301,MATCH(B23,Produkte!$A$2:$A$301,0)),"")</f>
        <v/>
      </c>
      <c r="D23" s="7" t="n"/>
      <c r="E23" s="7" t="n"/>
      <c r="F23" s="7" t="n"/>
      <c r="G23" s="7" t="n"/>
      <c r="H23" s="18" t="n"/>
      <c r="I23" s="7" t="n"/>
      <c r="J23" s="7" t="n"/>
      <c r="K23" s="7" t="n"/>
      <c r="L23" s="12">
        <f>IF(F23="","",INT(F23/0.5))</f>
        <v/>
      </c>
      <c r="M23" s="7" t="n"/>
    </row>
    <row r="24">
      <c r="A24" s="7" t="n"/>
      <c r="B24" s="7" t="n"/>
      <c r="C24" s="12">
        <f>IFERROR(INDEX(Produkte!$B$2:$B$301,MATCH(B24,Produkte!$A$2:$A$301,0)),"")</f>
        <v/>
      </c>
      <c r="D24" s="7" t="n"/>
      <c r="E24" s="7" t="n"/>
      <c r="F24" s="7" t="n"/>
      <c r="G24" s="7" t="n"/>
      <c r="H24" s="18" t="n"/>
      <c r="I24" s="7" t="n"/>
      <c r="J24" s="7" t="n"/>
      <c r="K24" s="7" t="n"/>
      <c r="L24" s="12">
        <f>IF(F24="","",INT(F24/0.5))</f>
        <v/>
      </c>
      <c r="M24" s="7" t="n"/>
    </row>
    <row r="25">
      <c r="A25" s="7" t="n"/>
      <c r="B25" s="7" t="n"/>
      <c r="C25" s="12">
        <f>IFERROR(INDEX(Produkte!$B$2:$B$301,MATCH(B25,Produkte!$A$2:$A$301,0)),"")</f>
        <v/>
      </c>
      <c r="D25" s="7" t="n"/>
      <c r="E25" s="7" t="n"/>
      <c r="F25" s="7" t="n"/>
      <c r="G25" s="7" t="n"/>
      <c r="H25" s="18" t="n"/>
      <c r="I25" s="7" t="n"/>
      <c r="J25" s="7" t="n"/>
      <c r="K25" s="7" t="n"/>
      <c r="L25" s="12">
        <f>IF(F25="","",INT(F25/0.5))</f>
        <v/>
      </c>
      <c r="M25" s="7" t="n"/>
    </row>
    <row r="26">
      <c r="A26" s="7" t="n"/>
      <c r="B26" s="7" t="n"/>
      <c r="C26" s="12">
        <f>IFERROR(INDEX(Produkte!$B$2:$B$301,MATCH(B26,Produkte!$A$2:$A$301,0)),"")</f>
        <v/>
      </c>
      <c r="D26" s="7" t="n"/>
      <c r="E26" s="7" t="n"/>
      <c r="F26" s="7" t="n"/>
      <c r="G26" s="7" t="n"/>
      <c r="H26" s="18" t="n"/>
      <c r="I26" s="7" t="n"/>
      <c r="J26" s="7" t="n"/>
      <c r="K26" s="7" t="n"/>
      <c r="L26" s="12">
        <f>IF(F26="","",INT(F26/0.5))</f>
        <v/>
      </c>
      <c r="M26" s="7" t="n"/>
    </row>
    <row r="27">
      <c r="A27" s="7" t="n"/>
      <c r="B27" s="7" t="n"/>
      <c r="C27" s="12">
        <f>IFERROR(INDEX(Produkte!$B$2:$B$301,MATCH(B27,Produkte!$A$2:$A$301,0)),"")</f>
        <v/>
      </c>
      <c r="D27" s="7" t="n"/>
      <c r="E27" s="7" t="n"/>
      <c r="F27" s="7" t="n"/>
      <c r="G27" s="7" t="n"/>
      <c r="H27" s="18" t="n"/>
      <c r="I27" s="7" t="n"/>
      <c r="J27" s="7" t="n"/>
      <c r="K27" s="7" t="n"/>
      <c r="L27" s="12">
        <f>IF(F27="","",INT(F27/0.5))</f>
        <v/>
      </c>
      <c r="M27" s="7" t="n"/>
    </row>
    <row r="28">
      <c r="A28" s="7" t="n"/>
      <c r="B28" s="7" t="n"/>
      <c r="C28" s="12">
        <f>IFERROR(INDEX(Produkte!$B$2:$B$301,MATCH(B28,Produkte!$A$2:$A$301,0)),"")</f>
        <v/>
      </c>
      <c r="D28" s="7" t="n"/>
      <c r="E28" s="7" t="n"/>
      <c r="F28" s="7" t="n"/>
      <c r="G28" s="7" t="n"/>
      <c r="H28" s="18" t="n"/>
      <c r="I28" s="7" t="n"/>
      <c r="J28" s="7" t="n"/>
      <c r="K28" s="7" t="n"/>
      <c r="L28" s="12">
        <f>IF(F28="","",INT(F28/0.5))</f>
        <v/>
      </c>
      <c r="M28" s="7" t="n"/>
    </row>
    <row r="29">
      <c r="A29" s="7" t="n"/>
      <c r="B29" s="7" t="n"/>
      <c r="C29" s="12">
        <f>IFERROR(INDEX(Produkte!$B$2:$B$301,MATCH(B29,Produkte!$A$2:$A$301,0)),"")</f>
        <v/>
      </c>
      <c r="D29" s="7" t="n"/>
      <c r="E29" s="7" t="n"/>
      <c r="F29" s="7" t="n"/>
      <c r="G29" s="7" t="n"/>
      <c r="H29" s="18" t="n"/>
      <c r="I29" s="7" t="n"/>
      <c r="J29" s="7" t="n"/>
      <c r="K29" s="7" t="n"/>
      <c r="L29" s="12">
        <f>IF(F29="","",INT(F29/0.5))</f>
        <v/>
      </c>
      <c r="M29" s="7" t="n"/>
    </row>
    <row r="30">
      <c r="A30" s="7" t="n"/>
      <c r="B30" s="7" t="n"/>
      <c r="C30" s="12">
        <f>IFERROR(INDEX(Produkte!$B$2:$B$301,MATCH(B30,Produkte!$A$2:$A$301,0)),"")</f>
        <v/>
      </c>
      <c r="D30" s="7" t="n"/>
      <c r="E30" s="7" t="n"/>
      <c r="F30" s="7" t="n"/>
      <c r="G30" s="7" t="n"/>
      <c r="H30" s="18" t="n"/>
      <c r="I30" s="7" t="n"/>
      <c r="J30" s="7" t="n"/>
      <c r="K30" s="7" t="n"/>
      <c r="L30" s="12">
        <f>IF(F30="","",INT(F30/0.5))</f>
        <v/>
      </c>
      <c r="M30" s="7" t="n"/>
    </row>
    <row r="31">
      <c r="A31" s="7" t="n"/>
      <c r="B31" s="7" t="n"/>
      <c r="C31" s="12">
        <f>IFERROR(INDEX(Produkte!$B$2:$B$301,MATCH(B31,Produkte!$A$2:$A$301,0)),"")</f>
        <v/>
      </c>
      <c r="D31" s="7" t="n"/>
      <c r="E31" s="7" t="n"/>
      <c r="F31" s="7" t="n"/>
      <c r="G31" s="7" t="n"/>
      <c r="H31" s="18" t="n"/>
      <c r="I31" s="7" t="n"/>
      <c r="J31" s="7" t="n"/>
      <c r="K31" s="7" t="n"/>
      <c r="L31" s="12">
        <f>IF(F31="","",INT(F31/0.5))</f>
        <v/>
      </c>
      <c r="M31" s="7" t="n"/>
    </row>
    <row r="32">
      <c r="A32" s="7" t="n"/>
      <c r="B32" s="7" t="n"/>
      <c r="C32" s="12">
        <f>IFERROR(INDEX(Produkte!$B$2:$B$301,MATCH(B32,Produkte!$A$2:$A$301,0)),"")</f>
        <v/>
      </c>
      <c r="D32" s="7" t="n"/>
      <c r="E32" s="7" t="n"/>
      <c r="F32" s="7" t="n"/>
      <c r="G32" s="7" t="n"/>
      <c r="H32" s="18" t="n"/>
      <c r="I32" s="7" t="n"/>
      <c r="J32" s="7" t="n"/>
      <c r="K32" s="7" t="n"/>
      <c r="L32" s="12">
        <f>IF(F32="","",INT(F32/0.5))</f>
        <v/>
      </c>
      <c r="M32" s="7" t="n"/>
    </row>
    <row r="33">
      <c r="A33" s="7" t="n"/>
      <c r="B33" s="7" t="n"/>
      <c r="C33" s="12">
        <f>IFERROR(INDEX(Produkte!$B$2:$B$301,MATCH(B33,Produkte!$A$2:$A$301,0)),"")</f>
        <v/>
      </c>
      <c r="D33" s="7" t="n"/>
      <c r="E33" s="7" t="n"/>
      <c r="F33" s="7" t="n"/>
      <c r="G33" s="7" t="n"/>
      <c r="H33" s="18" t="n"/>
      <c r="I33" s="7" t="n"/>
      <c r="J33" s="7" t="n"/>
      <c r="K33" s="7" t="n"/>
      <c r="L33" s="12">
        <f>IF(F33="","",INT(F33/0.5))</f>
        <v/>
      </c>
      <c r="M33" s="7" t="n"/>
    </row>
    <row r="34">
      <c r="A34" s="7" t="n"/>
      <c r="B34" s="7" t="n"/>
      <c r="C34" s="12">
        <f>IFERROR(INDEX(Produkte!$B$2:$B$301,MATCH(B34,Produkte!$A$2:$A$301,0)),"")</f>
        <v/>
      </c>
      <c r="D34" s="7" t="n"/>
      <c r="E34" s="7" t="n"/>
      <c r="F34" s="7" t="n"/>
      <c r="G34" s="7" t="n"/>
      <c r="H34" s="18" t="n"/>
      <c r="I34" s="7" t="n"/>
      <c r="J34" s="7" t="n"/>
      <c r="K34" s="7" t="n"/>
      <c r="L34" s="12">
        <f>IF(F34="","",INT(F34/0.5))</f>
        <v/>
      </c>
      <c r="M34" s="7" t="n"/>
    </row>
    <row r="35">
      <c r="A35" s="7" t="n"/>
      <c r="B35" s="7" t="n"/>
      <c r="C35" s="12">
        <f>IFERROR(INDEX(Produkte!$B$2:$B$301,MATCH(B35,Produkte!$A$2:$A$301,0)),"")</f>
        <v/>
      </c>
      <c r="D35" s="7" t="n"/>
      <c r="E35" s="7" t="n"/>
      <c r="F35" s="7" t="n"/>
      <c r="G35" s="7" t="n"/>
      <c r="H35" s="18" t="n"/>
      <c r="I35" s="7" t="n"/>
      <c r="J35" s="7" t="n"/>
      <c r="K35" s="7" t="n"/>
      <c r="L35" s="12">
        <f>IF(F35="","",INT(F35/0.5))</f>
        <v/>
      </c>
      <c r="M35" s="7" t="n"/>
    </row>
    <row r="36">
      <c r="A36" s="7" t="n"/>
      <c r="B36" s="7" t="n"/>
      <c r="C36" s="12">
        <f>IFERROR(INDEX(Produkte!$B$2:$B$301,MATCH(B36,Produkte!$A$2:$A$301,0)),"")</f>
        <v/>
      </c>
      <c r="D36" s="7" t="n"/>
      <c r="E36" s="7" t="n"/>
      <c r="F36" s="7" t="n"/>
      <c r="G36" s="7" t="n"/>
      <c r="H36" s="18" t="n"/>
      <c r="I36" s="7" t="n"/>
      <c r="J36" s="7" t="n"/>
      <c r="K36" s="7" t="n"/>
      <c r="L36" s="12">
        <f>IF(F36="","",INT(F36/0.5))</f>
        <v/>
      </c>
      <c r="M36" s="7" t="n"/>
    </row>
    <row r="37">
      <c r="A37" s="7" t="n"/>
      <c r="B37" s="7" t="n"/>
      <c r="C37" s="12">
        <f>IFERROR(INDEX(Produkte!$B$2:$B$301,MATCH(B37,Produkte!$A$2:$A$301,0)),"")</f>
        <v/>
      </c>
      <c r="D37" s="7" t="n"/>
      <c r="E37" s="7" t="n"/>
      <c r="F37" s="7" t="n"/>
      <c r="G37" s="7" t="n"/>
      <c r="H37" s="18" t="n"/>
      <c r="I37" s="7" t="n"/>
      <c r="J37" s="7" t="n"/>
      <c r="K37" s="7" t="n"/>
      <c r="L37" s="12">
        <f>IF(F37="","",INT(F37/0.5))</f>
        <v/>
      </c>
      <c r="M37" s="7" t="n"/>
    </row>
    <row r="38">
      <c r="A38" s="7" t="n"/>
      <c r="B38" s="7" t="n"/>
      <c r="C38" s="12">
        <f>IFERROR(INDEX(Produkte!$B$2:$B$301,MATCH(B38,Produkte!$A$2:$A$301,0)),"")</f>
        <v/>
      </c>
      <c r="D38" s="7" t="n"/>
      <c r="E38" s="7" t="n"/>
      <c r="F38" s="7" t="n"/>
      <c r="G38" s="7" t="n"/>
      <c r="H38" s="18" t="n"/>
      <c r="I38" s="7" t="n"/>
      <c r="J38" s="7" t="n"/>
      <c r="K38" s="7" t="n"/>
      <c r="L38" s="12">
        <f>IF(F38="","",INT(F38/0.5))</f>
        <v/>
      </c>
      <c r="M38" s="7" t="n"/>
    </row>
    <row r="39">
      <c r="A39" s="7" t="n"/>
      <c r="B39" s="7" t="n"/>
      <c r="C39" s="12">
        <f>IFERROR(INDEX(Produkte!$B$2:$B$301,MATCH(B39,Produkte!$A$2:$A$301,0)),"")</f>
        <v/>
      </c>
      <c r="D39" s="7" t="n"/>
      <c r="E39" s="7" t="n"/>
      <c r="F39" s="7" t="n"/>
      <c r="G39" s="7" t="n"/>
      <c r="H39" s="18" t="n"/>
      <c r="I39" s="7" t="n"/>
      <c r="J39" s="7" t="n"/>
      <c r="K39" s="7" t="n"/>
      <c r="L39" s="12">
        <f>IF(F39="","",INT(F39/0.5))</f>
        <v/>
      </c>
      <c r="M39" s="7" t="n"/>
    </row>
    <row r="40">
      <c r="A40" s="7" t="n"/>
      <c r="B40" s="7" t="n"/>
      <c r="C40" s="12">
        <f>IFERROR(INDEX(Produkte!$B$2:$B$301,MATCH(B40,Produkte!$A$2:$A$301,0)),"")</f>
        <v/>
      </c>
      <c r="D40" s="7" t="n"/>
      <c r="E40" s="7" t="n"/>
      <c r="F40" s="7" t="n"/>
      <c r="G40" s="7" t="n"/>
      <c r="H40" s="18" t="n"/>
      <c r="I40" s="7" t="n"/>
      <c r="J40" s="7" t="n"/>
      <c r="K40" s="7" t="n"/>
      <c r="L40" s="12">
        <f>IF(F40="","",INT(F40/0.5))</f>
        <v/>
      </c>
      <c r="M40" s="7" t="n"/>
    </row>
    <row r="41">
      <c r="A41" s="7" t="n"/>
      <c r="B41" s="7" t="n"/>
      <c r="C41" s="12">
        <f>IFERROR(INDEX(Produkte!$B$2:$B$301,MATCH(B41,Produkte!$A$2:$A$301,0)),"")</f>
        <v/>
      </c>
      <c r="D41" s="7" t="n"/>
      <c r="E41" s="7" t="n"/>
      <c r="F41" s="7" t="n"/>
      <c r="G41" s="7" t="n"/>
      <c r="H41" s="18" t="n"/>
      <c r="I41" s="7" t="n"/>
      <c r="J41" s="7" t="n"/>
      <c r="K41" s="7" t="n"/>
      <c r="L41" s="12">
        <f>IF(F41="","",INT(F41/0.5))</f>
        <v/>
      </c>
      <c r="M41" s="7" t="n"/>
    </row>
    <row r="42">
      <c r="A42" s="7" t="n"/>
      <c r="B42" s="7" t="n"/>
      <c r="C42" s="12">
        <f>IFERROR(INDEX(Produkte!$B$2:$B$301,MATCH(B42,Produkte!$A$2:$A$301,0)),"")</f>
        <v/>
      </c>
      <c r="D42" s="7" t="n"/>
      <c r="E42" s="7" t="n"/>
      <c r="F42" s="7" t="n"/>
      <c r="G42" s="7" t="n"/>
      <c r="H42" s="18" t="n"/>
      <c r="I42" s="7" t="n"/>
      <c r="J42" s="7" t="n"/>
      <c r="K42" s="7" t="n"/>
      <c r="L42" s="12">
        <f>IF(F42="","",INT(F42/0.5))</f>
        <v/>
      </c>
      <c r="M42" s="7" t="n"/>
    </row>
    <row r="43">
      <c r="A43" s="7" t="n"/>
      <c r="B43" s="7" t="n"/>
      <c r="C43" s="12">
        <f>IFERROR(INDEX(Produkte!$B$2:$B$301,MATCH(B43,Produkte!$A$2:$A$301,0)),"")</f>
        <v/>
      </c>
      <c r="D43" s="7" t="n"/>
      <c r="E43" s="7" t="n"/>
      <c r="F43" s="7" t="n"/>
      <c r="G43" s="7" t="n"/>
      <c r="H43" s="18" t="n"/>
      <c r="I43" s="7" t="n"/>
      <c r="J43" s="7" t="n"/>
      <c r="K43" s="7" t="n"/>
      <c r="L43" s="12">
        <f>IF(F43="","",INT(F43/0.5))</f>
        <v/>
      </c>
      <c r="M43" s="7" t="n"/>
    </row>
    <row r="44">
      <c r="A44" s="7" t="n"/>
      <c r="B44" s="7" t="n"/>
      <c r="C44" s="12">
        <f>IFERROR(INDEX(Produkte!$B$2:$B$301,MATCH(B44,Produkte!$A$2:$A$301,0)),"")</f>
        <v/>
      </c>
      <c r="D44" s="7" t="n"/>
      <c r="E44" s="7" t="n"/>
      <c r="F44" s="7" t="n"/>
      <c r="G44" s="7" t="n"/>
      <c r="H44" s="18" t="n"/>
      <c r="I44" s="7" t="n"/>
      <c r="J44" s="7" t="n"/>
      <c r="K44" s="7" t="n"/>
      <c r="L44" s="12">
        <f>IF(F44="","",INT(F44/0.5))</f>
        <v/>
      </c>
      <c r="M44" s="7" t="n"/>
    </row>
    <row r="45">
      <c r="A45" s="7" t="n"/>
      <c r="B45" s="7" t="n"/>
      <c r="C45" s="12">
        <f>IFERROR(INDEX(Produkte!$B$2:$B$301,MATCH(B45,Produkte!$A$2:$A$301,0)),"")</f>
        <v/>
      </c>
      <c r="D45" s="7" t="n"/>
      <c r="E45" s="7" t="n"/>
      <c r="F45" s="7" t="n"/>
      <c r="G45" s="7" t="n"/>
      <c r="H45" s="18" t="n"/>
      <c r="I45" s="7" t="n"/>
      <c r="J45" s="7" t="n"/>
      <c r="K45" s="7" t="n"/>
      <c r="L45" s="12">
        <f>IF(F45="","",INT(F45/0.5))</f>
        <v/>
      </c>
      <c r="M45" s="7" t="n"/>
    </row>
    <row r="46">
      <c r="A46" s="7" t="n"/>
      <c r="B46" s="7" t="n"/>
      <c r="C46" s="12">
        <f>IFERROR(INDEX(Produkte!$B$2:$B$301,MATCH(B46,Produkte!$A$2:$A$301,0)),"")</f>
        <v/>
      </c>
      <c r="D46" s="7" t="n"/>
      <c r="E46" s="7" t="n"/>
      <c r="F46" s="7" t="n"/>
      <c r="G46" s="7" t="n"/>
      <c r="H46" s="18" t="n"/>
      <c r="I46" s="7" t="n"/>
      <c r="J46" s="7" t="n"/>
      <c r="K46" s="7" t="n"/>
      <c r="L46" s="12">
        <f>IF(F46="","",INT(F46/0.5))</f>
        <v/>
      </c>
      <c r="M46" s="7" t="n"/>
    </row>
    <row r="47">
      <c r="A47" s="7" t="n"/>
      <c r="B47" s="7" t="n"/>
      <c r="C47" s="12">
        <f>IFERROR(INDEX(Produkte!$B$2:$B$301,MATCH(B47,Produkte!$A$2:$A$301,0)),"")</f>
        <v/>
      </c>
      <c r="D47" s="7" t="n"/>
      <c r="E47" s="7" t="n"/>
      <c r="F47" s="7" t="n"/>
      <c r="G47" s="7" t="n"/>
      <c r="H47" s="18" t="n"/>
      <c r="I47" s="7" t="n"/>
      <c r="J47" s="7" t="n"/>
      <c r="K47" s="7" t="n"/>
      <c r="L47" s="12">
        <f>IF(F47="","",INT(F47/0.5))</f>
        <v/>
      </c>
      <c r="M47" s="7" t="n"/>
    </row>
    <row r="48">
      <c r="A48" s="7" t="n"/>
      <c r="B48" s="7" t="n"/>
      <c r="C48" s="12">
        <f>IFERROR(INDEX(Produkte!$B$2:$B$301,MATCH(B48,Produkte!$A$2:$A$301,0)),"")</f>
        <v/>
      </c>
      <c r="D48" s="7" t="n"/>
      <c r="E48" s="7" t="n"/>
      <c r="F48" s="7" t="n"/>
      <c r="G48" s="7" t="n"/>
      <c r="H48" s="18" t="n"/>
      <c r="I48" s="7" t="n"/>
      <c r="J48" s="7" t="n"/>
      <c r="K48" s="7" t="n"/>
      <c r="L48" s="12">
        <f>IF(F48="","",INT(F48/0.5))</f>
        <v/>
      </c>
      <c r="M48" s="7" t="n"/>
    </row>
    <row r="49">
      <c r="A49" s="7" t="n"/>
      <c r="B49" s="7" t="n"/>
      <c r="C49" s="12">
        <f>IFERROR(INDEX(Produkte!$B$2:$B$301,MATCH(B49,Produkte!$A$2:$A$301,0)),"")</f>
        <v/>
      </c>
      <c r="D49" s="7" t="n"/>
      <c r="E49" s="7" t="n"/>
      <c r="F49" s="7" t="n"/>
      <c r="G49" s="7" t="n"/>
      <c r="H49" s="18" t="n"/>
      <c r="I49" s="7" t="n"/>
      <c r="J49" s="7" t="n"/>
      <c r="K49" s="7" t="n"/>
      <c r="L49" s="12">
        <f>IF(F49="","",INT(F49/0.5))</f>
        <v/>
      </c>
      <c r="M49" s="7" t="n"/>
    </row>
    <row r="50">
      <c r="A50" s="7" t="n"/>
      <c r="B50" s="7" t="n"/>
      <c r="C50" s="12">
        <f>IFERROR(INDEX(Produkte!$B$2:$B$301,MATCH(B50,Produkte!$A$2:$A$301,0)),"")</f>
        <v/>
      </c>
      <c r="D50" s="7" t="n"/>
      <c r="E50" s="7" t="n"/>
      <c r="F50" s="7" t="n"/>
      <c r="G50" s="7" t="n"/>
      <c r="H50" s="18" t="n"/>
      <c r="I50" s="7" t="n"/>
      <c r="J50" s="7" t="n"/>
      <c r="K50" s="7" t="n"/>
      <c r="L50" s="12">
        <f>IF(F50="","",INT(F50/0.5))</f>
        <v/>
      </c>
      <c r="M50" s="7" t="n"/>
    </row>
    <row r="51">
      <c r="A51" s="7" t="n"/>
      <c r="B51" s="7" t="n"/>
      <c r="C51" s="12">
        <f>IFERROR(INDEX(Produkte!$B$2:$B$301,MATCH(B51,Produkte!$A$2:$A$301,0)),"")</f>
        <v/>
      </c>
      <c r="D51" s="7" t="n"/>
      <c r="E51" s="7" t="n"/>
      <c r="F51" s="7" t="n"/>
      <c r="G51" s="7" t="n"/>
      <c r="H51" s="18" t="n"/>
      <c r="I51" s="7" t="n"/>
      <c r="J51" s="7" t="n"/>
      <c r="K51" s="7" t="n"/>
      <c r="L51" s="12">
        <f>IF(F51="","",INT(F51/0.5))</f>
        <v/>
      </c>
      <c r="M51" s="7" t="n"/>
    </row>
    <row r="52">
      <c r="A52" s="7" t="n"/>
      <c r="B52" s="7" t="n"/>
      <c r="C52" s="12">
        <f>IFERROR(INDEX(Produkte!$B$2:$B$301,MATCH(B52,Produkte!$A$2:$A$301,0)),"")</f>
        <v/>
      </c>
      <c r="D52" s="7" t="n"/>
      <c r="E52" s="7" t="n"/>
      <c r="F52" s="7" t="n"/>
      <c r="G52" s="7" t="n"/>
      <c r="H52" s="18" t="n"/>
      <c r="I52" s="7" t="n"/>
      <c r="J52" s="7" t="n"/>
      <c r="K52" s="7" t="n"/>
      <c r="L52" s="12">
        <f>IF(F52="","",INT(F52/0.5))</f>
        <v/>
      </c>
      <c r="M52" s="7" t="n"/>
    </row>
    <row r="53">
      <c r="A53" s="7" t="n"/>
      <c r="B53" s="7" t="n"/>
      <c r="C53" s="12">
        <f>IFERROR(INDEX(Produkte!$B$2:$B$301,MATCH(B53,Produkte!$A$2:$A$301,0)),"")</f>
        <v/>
      </c>
      <c r="D53" s="7" t="n"/>
      <c r="E53" s="7" t="n"/>
      <c r="F53" s="7" t="n"/>
      <c r="G53" s="7" t="n"/>
      <c r="H53" s="18" t="n"/>
      <c r="I53" s="7" t="n"/>
      <c r="J53" s="7" t="n"/>
      <c r="K53" s="7" t="n"/>
      <c r="L53" s="12">
        <f>IF(F53="","",INT(F53/0.5))</f>
        <v/>
      </c>
      <c r="M53" s="7" t="n"/>
    </row>
    <row r="54">
      <c r="A54" s="7" t="n"/>
      <c r="B54" s="7" t="n"/>
      <c r="C54" s="12">
        <f>IFERROR(INDEX(Produkte!$B$2:$B$301,MATCH(B54,Produkte!$A$2:$A$301,0)),"")</f>
        <v/>
      </c>
      <c r="D54" s="7" t="n"/>
      <c r="E54" s="7" t="n"/>
      <c r="F54" s="7" t="n"/>
      <c r="G54" s="7" t="n"/>
      <c r="H54" s="18" t="n"/>
      <c r="I54" s="7" t="n"/>
      <c r="J54" s="7" t="n"/>
      <c r="K54" s="7" t="n"/>
      <c r="L54" s="12">
        <f>IF(F54="","",INT(F54/0.5))</f>
        <v/>
      </c>
      <c r="M54" s="7" t="n"/>
    </row>
    <row r="55">
      <c r="A55" s="7" t="n"/>
      <c r="B55" s="7" t="n"/>
      <c r="C55" s="12">
        <f>IFERROR(INDEX(Produkte!$B$2:$B$301,MATCH(B55,Produkte!$A$2:$A$301,0)),"")</f>
        <v/>
      </c>
      <c r="D55" s="7" t="n"/>
      <c r="E55" s="7" t="n"/>
      <c r="F55" s="7" t="n"/>
      <c r="G55" s="7" t="n"/>
      <c r="H55" s="18" t="n"/>
      <c r="I55" s="7" t="n"/>
      <c r="J55" s="7" t="n"/>
      <c r="K55" s="7" t="n"/>
      <c r="L55" s="12">
        <f>IF(F55="","",INT(F55/0.5))</f>
        <v/>
      </c>
      <c r="M55" s="7" t="n"/>
    </row>
    <row r="56">
      <c r="A56" s="7" t="n"/>
      <c r="B56" s="7" t="n"/>
      <c r="C56" s="12">
        <f>IFERROR(INDEX(Produkte!$B$2:$B$301,MATCH(B56,Produkte!$A$2:$A$301,0)),"")</f>
        <v/>
      </c>
      <c r="D56" s="7" t="n"/>
      <c r="E56" s="7" t="n"/>
      <c r="F56" s="7" t="n"/>
      <c r="G56" s="7" t="n"/>
      <c r="H56" s="18" t="n"/>
      <c r="I56" s="7" t="n"/>
      <c r="J56" s="7" t="n"/>
      <c r="K56" s="7" t="n"/>
      <c r="L56" s="12">
        <f>IF(F56="","",INT(F56/0.5))</f>
        <v/>
      </c>
      <c r="M56" s="7" t="n"/>
    </row>
    <row r="57">
      <c r="A57" s="7" t="n"/>
      <c r="B57" s="7" t="n"/>
      <c r="C57" s="12">
        <f>IFERROR(INDEX(Produkte!$B$2:$B$301,MATCH(B57,Produkte!$A$2:$A$301,0)),"")</f>
        <v/>
      </c>
      <c r="D57" s="7" t="n"/>
      <c r="E57" s="7" t="n"/>
      <c r="F57" s="7" t="n"/>
      <c r="G57" s="7" t="n"/>
      <c r="H57" s="18" t="n"/>
      <c r="I57" s="7" t="n"/>
      <c r="J57" s="7" t="n"/>
      <c r="K57" s="7" t="n"/>
      <c r="L57" s="12">
        <f>IF(F57="","",INT(F57/0.5))</f>
        <v/>
      </c>
      <c r="M57" s="7" t="n"/>
    </row>
    <row r="58">
      <c r="A58" s="7" t="n"/>
      <c r="B58" s="7" t="n"/>
      <c r="C58" s="12">
        <f>IFERROR(INDEX(Produkte!$B$2:$B$301,MATCH(B58,Produkte!$A$2:$A$301,0)),"")</f>
        <v/>
      </c>
      <c r="D58" s="7" t="n"/>
      <c r="E58" s="7" t="n"/>
      <c r="F58" s="7" t="n"/>
      <c r="G58" s="7" t="n"/>
      <c r="H58" s="18" t="n"/>
      <c r="I58" s="7" t="n"/>
      <c r="J58" s="7" t="n"/>
      <c r="K58" s="7" t="n"/>
      <c r="L58" s="12">
        <f>IF(F58="","",INT(F58/0.5))</f>
        <v/>
      </c>
      <c r="M58" s="7" t="n"/>
    </row>
    <row r="59">
      <c r="A59" s="7" t="n"/>
      <c r="B59" s="7" t="n"/>
      <c r="C59" s="12">
        <f>IFERROR(INDEX(Produkte!$B$2:$B$301,MATCH(B59,Produkte!$A$2:$A$301,0)),"")</f>
        <v/>
      </c>
      <c r="D59" s="7" t="n"/>
      <c r="E59" s="7" t="n"/>
      <c r="F59" s="7" t="n"/>
      <c r="G59" s="7" t="n"/>
      <c r="H59" s="18" t="n"/>
      <c r="I59" s="7" t="n"/>
      <c r="J59" s="7" t="n"/>
      <c r="K59" s="7" t="n"/>
      <c r="L59" s="12">
        <f>IF(F59="","",INT(F59/0.5))</f>
        <v/>
      </c>
      <c r="M59" s="7" t="n"/>
    </row>
    <row r="60">
      <c r="A60" s="7" t="n"/>
      <c r="B60" s="7" t="n"/>
      <c r="C60" s="12">
        <f>IFERROR(INDEX(Produkte!$B$2:$B$301,MATCH(B60,Produkte!$A$2:$A$301,0)),"")</f>
        <v/>
      </c>
      <c r="D60" s="7" t="n"/>
      <c r="E60" s="7" t="n"/>
      <c r="F60" s="7" t="n"/>
      <c r="G60" s="7" t="n"/>
      <c r="H60" s="18" t="n"/>
      <c r="I60" s="7" t="n"/>
      <c r="J60" s="7" t="n"/>
      <c r="K60" s="7" t="n"/>
      <c r="L60" s="12">
        <f>IF(F60="","",INT(F60/0.5))</f>
        <v/>
      </c>
      <c r="M60" s="7" t="n"/>
    </row>
    <row r="61">
      <c r="A61" s="7" t="n"/>
      <c r="B61" s="7" t="n"/>
      <c r="C61" s="12">
        <f>IFERROR(INDEX(Produkte!$B$2:$B$301,MATCH(B61,Produkte!$A$2:$A$301,0)),"")</f>
        <v/>
      </c>
      <c r="D61" s="7" t="n"/>
      <c r="E61" s="7" t="n"/>
      <c r="F61" s="7" t="n"/>
      <c r="G61" s="7" t="n"/>
      <c r="H61" s="18" t="n"/>
      <c r="I61" s="7" t="n"/>
      <c r="J61" s="7" t="n"/>
      <c r="K61" s="7" t="n"/>
      <c r="L61" s="12">
        <f>IF(F61="","",INT(F61/0.5))</f>
        <v/>
      </c>
      <c r="M61" s="7" t="n"/>
    </row>
    <row r="62">
      <c r="A62" s="7" t="n"/>
      <c r="B62" s="7" t="n"/>
      <c r="C62" s="12">
        <f>IFERROR(INDEX(Produkte!$B$2:$B$301,MATCH(B62,Produkte!$A$2:$A$301,0)),"")</f>
        <v/>
      </c>
      <c r="D62" s="7" t="n"/>
      <c r="E62" s="7" t="n"/>
      <c r="F62" s="7" t="n"/>
      <c r="G62" s="7" t="n"/>
      <c r="H62" s="18" t="n"/>
      <c r="I62" s="7" t="n"/>
      <c r="J62" s="7" t="n"/>
      <c r="K62" s="7" t="n"/>
      <c r="L62" s="12">
        <f>IF(F62="","",INT(F62/0.5))</f>
        <v/>
      </c>
      <c r="M62" s="7" t="n"/>
    </row>
    <row r="63">
      <c r="A63" s="7" t="n"/>
      <c r="B63" s="7" t="n"/>
      <c r="C63" s="12">
        <f>IFERROR(INDEX(Produkte!$B$2:$B$301,MATCH(B63,Produkte!$A$2:$A$301,0)),"")</f>
        <v/>
      </c>
      <c r="D63" s="7" t="n"/>
      <c r="E63" s="7" t="n"/>
      <c r="F63" s="7" t="n"/>
      <c r="G63" s="7" t="n"/>
      <c r="H63" s="18" t="n"/>
      <c r="I63" s="7" t="n"/>
      <c r="J63" s="7" t="n"/>
      <c r="K63" s="7" t="n"/>
      <c r="L63" s="12">
        <f>IF(F63="","",INT(F63/0.5))</f>
        <v/>
      </c>
      <c r="M63" s="7" t="n"/>
    </row>
    <row r="64">
      <c r="A64" s="7" t="n"/>
      <c r="B64" s="7" t="n"/>
      <c r="C64" s="12">
        <f>IFERROR(INDEX(Produkte!$B$2:$B$301,MATCH(B64,Produkte!$A$2:$A$301,0)),"")</f>
        <v/>
      </c>
      <c r="D64" s="7" t="n"/>
      <c r="E64" s="7" t="n"/>
      <c r="F64" s="7" t="n"/>
      <c r="G64" s="7" t="n"/>
      <c r="H64" s="18" t="n"/>
      <c r="I64" s="7" t="n"/>
      <c r="J64" s="7" t="n"/>
      <c r="K64" s="7" t="n"/>
      <c r="L64" s="12">
        <f>IF(F64="","",INT(F64/0.5))</f>
        <v/>
      </c>
      <c r="M64" s="7" t="n"/>
    </row>
    <row r="65">
      <c r="A65" s="7" t="n"/>
      <c r="B65" s="7" t="n"/>
      <c r="C65" s="12">
        <f>IFERROR(INDEX(Produkte!$B$2:$B$301,MATCH(B65,Produkte!$A$2:$A$301,0)),"")</f>
        <v/>
      </c>
      <c r="D65" s="7" t="n"/>
      <c r="E65" s="7" t="n"/>
      <c r="F65" s="7" t="n"/>
      <c r="G65" s="7" t="n"/>
      <c r="H65" s="18" t="n"/>
      <c r="I65" s="7" t="n"/>
      <c r="J65" s="7" t="n"/>
      <c r="K65" s="7" t="n"/>
      <c r="L65" s="12">
        <f>IF(F65="","",INT(F65/0.5))</f>
        <v/>
      </c>
      <c r="M65" s="7" t="n"/>
    </row>
    <row r="66">
      <c r="A66" s="7" t="n"/>
      <c r="B66" s="7" t="n"/>
      <c r="C66" s="12">
        <f>IFERROR(INDEX(Produkte!$B$2:$B$301,MATCH(B66,Produkte!$A$2:$A$301,0)),"")</f>
        <v/>
      </c>
      <c r="D66" s="7" t="n"/>
      <c r="E66" s="7" t="n"/>
      <c r="F66" s="7" t="n"/>
      <c r="G66" s="7" t="n"/>
      <c r="H66" s="18" t="n"/>
      <c r="I66" s="7" t="n"/>
      <c r="J66" s="7" t="n"/>
      <c r="K66" s="7" t="n"/>
      <c r="L66" s="12">
        <f>IF(F66="","",INT(F66/0.5))</f>
        <v/>
      </c>
      <c r="M66" s="7" t="n"/>
    </row>
    <row r="67">
      <c r="A67" s="7" t="n"/>
      <c r="B67" s="7" t="n"/>
      <c r="C67" s="12">
        <f>IFERROR(INDEX(Produkte!$B$2:$B$301,MATCH(B67,Produkte!$A$2:$A$301,0)),"")</f>
        <v/>
      </c>
      <c r="D67" s="7" t="n"/>
      <c r="E67" s="7" t="n"/>
      <c r="F67" s="7" t="n"/>
      <c r="G67" s="7" t="n"/>
      <c r="H67" s="18" t="n"/>
      <c r="I67" s="7" t="n"/>
      <c r="J67" s="7" t="n"/>
      <c r="K67" s="7" t="n"/>
      <c r="L67" s="12">
        <f>IF(F67="","",INT(F67/0.5))</f>
        <v/>
      </c>
      <c r="M67" s="7" t="n"/>
    </row>
    <row r="68">
      <c r="A68" s="7" t="n"/>
      <c r="B68" s="7" t="n"/>
      <c r="C68" s="12">
        <f>IFERROR(INDEX(Produkte!$B$2:$B$301,MATCH(B68,Produkte!$A$2:$A$301,0)),"")</f>
        <v/>
      </c>
      <c r="D68" s="7" t="n"/>
      <c r="E68" s="7" t="n"/>
      <c r="F68" s="7" t="n"/>
      <c r="G68" s="7" t="n"/>
      <c r="H68" s="18" t="n"/>
      <c r="I68" s="7" t="n"/>
      <c r="J68" s="7" t="n"/>
      <c r="K68" s="7" t="n"/>
      <c r="L68" s="12">
        <f>IF(F68="","",INT(F68/0.5))</f>
        <v/>
      </c>
      <c r="M68" s="7" t="n"/>
    </row>
    <row r="69">
      <c r="A69" s="7" t="n"/>
      <c r="B69" s="7" t="n"/>
      <c r="C69" s="12">
        <f>IFERROR(INDEX(Produkte!$B$2:$B$301,MATCH(B69,Produkte!$A$2:$A$301,0)),"")</f>
        <v/>
      </c>
      <c r="D69" s="7" t="n"/>
      <c r="E69" s="7" t="n"/>
      <c r="F69" s="7" t="n"/>
      <c r="G69" s="7" t="n"/>
      <c r="H69" s="18" t="n"/>
      <c r="I69" s="7" t="n"/>
      <c r="J69" s="7" t="n"/>
      <c r="K69" s="7" t="n"/>
      <c r="L69" s="12">
        <f>IF(F69="","",INT(F69/0.5))</f>
        <v/>
      </c>
      <c r="M69" s="7" t="n"/>
    </row>
    <row r="70">
      <c r="A70" s="7" t="n"/>
      <c r="B70" s="7" t="n"/>
      <c r="C70" s="12">
        <f>IFERROR(INDEX(Produkte!$B$2:$B$301,MATCH(B70,Produkte!$A$2:$A$301,0)),"")</f>
        <v/>
      </c>
      <c r="D70" s="7" t="n"/>
      <c r="E70" s="7" t="n"/>
      <c r="F70" s="7" t="n"/>
      <c r="G70" s="7" t="n"/>
      <c r="H70" s="18" t="n"/>
      <c r="I70" s="7" t="n"/>
      <c r="J70" s="7" t="n"/>
      <c r="K70" s="7" t="n"/>
      <c r="L70" s="12">
        <f>IF(F70="","",INT(F70/0.5))</f>
        <v/>
      </c>
      <c r="M70" s="7" t="n"/>
    </row>
    <row r="71">
      <c r="A71" s="7" t="n"/>
      <c r="B71" s="7" t="n"/>
      <c r="C71" s="12">
        <f>IFERROR(INDEX(Produkte!$B$2:$B$301,MATCH(B71,Produkte!$A$2:$A$301,0)),"")</f>
        <v/>
      </c>
      <c r="D71" s="7" t="n"/>
      <c r="E71" s="7" t="n"/>
      <c r="F71" s="7" t="n"/>
      <c r="G71" s="7" t="n"/>
      <c r="H71" s="18" t="n"/>
      <c r="I71" s="7" t="n"/>
      <c r="J71" s="7" t="n"/>
      <c r="K71" s="7" t="n"/>
      <c r="L71" s="12">
        <f>IF(F71="","",INT(F71/0.5))</f>
        <v/>
      </c>
      <c r="M71" s="7" t="n"/>
    </row>
    <row r="72">
      <c r="A72" s="7" t="n"/>
      <c r="B72" s="7" t="n"/>
      <c r="C72" s="12">
        <f>IFERROR(INDEX(Produkte!$B$2:$B$301,MATCH(B72,Produkte!$A$2:$A$301,0)),"")</f>
        <v/>
      </c>
      <c r="D72" s="7" t="n"/>
      <c r="E72" s="7" t="n"/>
      <c r="F72" s="7" t="n"/>
      <c r="G72" s="7" t="n"/>
      <c r="H72" s="18" t="n"/>
      <c r="I72" s="7" t="n"/>
      <c r="J72" s="7" t="n"/>
      <c r="K72" s="7" t="n"/>
      <c r="L72" s="12">
        <f>IF(F72="","",INT(F72/0.5))</f>
        <v/>
      </c>
      <c r="M72" s="7" t="n"/>
    </row>
    <row r="73">
      <c r="A73" s="7" t="n"/>
      <c r="B73" s="7" t="n"/>
      <c r="C73" s="12">
        <f>IFERROR(INDEX(Produkte!$B$2:$B$301,MATCH(B73,Produkte!$A$2:$A$301,0)),"")</f>
        <v/>
      </c>
      <c r="D73" s="7" t="n"/>
      <c r="E73" s="7" t="n"/>
      <c r="F73" s="7" t="n"/>
      <c r="G73" s="7" t="n"/>
      <c r="H73" s="18" t="n"/>
      <c r="I73" s="7" t="n"/>
      <c r="J73" s="7" t="n"/>
      <c r="K73" s="7" t="n"/>
      <c r="L73" s="12">
        <f>IF(F73="","",INT(F73/0.5))</f>
        <v/>
      </c>
      <c r="M73" s="7" t="n"/>
    </row>
    <row r="74">
      <c r="A74" s="7" t="n"/>
      <c r="B74" s="7" t="n"/>
      <c r="C74" s="12">
        <f>IFERROR(INDEX(Produkte!$B$2:$B$301,MATCH(B74,Produkte!$A$2:$A$301,0)),"")</f>
        <v/>
      </c>
      <c r="D74" s="7" t="n"/>
      <c r="E74" s="7" t="n"/>
      <c r="F74" s="7" t="n"/>
      <c r="G74" s="7" t="n"/>
      <c r="H74" s="18" t="n"/>
      <c r="I74" s="7" t="n"/>
      <c r="J74" s="7" t="n"/>
      <c r="K74" s="7" t="n"/>
      <c r="L74" s="12">
        <f>IF(F74="","",INT(F74/0.5))</f>
        <v/>
      </c>
      <c r="M74" s="7" t="n"/>
    </row>
    <row r="75">
      <c r="A75" s="7" t="n"/>
      <c r="B75" s="7" t="n"/>
      <c r="C75" s="12">
        <f>IFERROR(INDEX(Produkte!$B$2:$B$301,MATCH(B75,Produkte!$A$2:$A$301,0)),"")</f>
        <v/>
      </c>
      <c r="D75" s="7" t="n"/>
      <c r="E75" s="7" t="n"/>
      <c r="F75" s="7" t="n"/>
      <c r="G75" s="7" t="n"/>
      <c r="H75" s="18" t="n"/>
      <c r="I75" s="7" t="n"/>
      <c r="J75" s="7" t="n"/>
      <c r="K75" s="7" t="n"/>
      <c r="L75" s="12">
        <f>IF(F75="","",INT(F75/0.5))</f>
        <v/>
      </c>
      <c r="M75" s="7" t="n"/>
    </row>
    <row r="76">
      <c r="A76" s="7" t="n"/>
      <c r="B76" s="7" t="n"/>
      <c r="C76" s="12">
        <f>IFERROR(INDEX(Produkte!$B$2:$B$301,MATCH(B76,Produkte!$A$2:$A$301,0)),"")</f>
        <v/>
      </c>
      <c r="D76" s="7" t="n"/>
      <c r="E76" s="7" t="n"/>
      <c r="F76" s="7" t="n"/>
      <c r="G76" s="7" t="n"/>
      <c r="H76" s="18" t="n"/>
      <c r="I76" s="7" t="n"/>
      <c r="J76" s="7" t="n"/>
      <c r="K76" s="7" t="n"/>
      <c r="L76" s="12">
        <f>IF(F76="","",INT(F76/0.5))</f>
        <v/>
      </c>
      <c r="M76" s="7" t="n"/>
    </row>
    <row r="77">
      <c r="A77" s="7" t="n"/>
      <c r="B77" s="7" t="n"/>
      <c r="C77" s="12">
        <f>IFERROR(INDEX(Produkte!$B$2:$B$301,MATCH(B77,Produkte!$A$2:$A$301,0)),"")</f>
        <v/>
      </c>
      <c r="D77" s="7" t="n"/>
      <c r="E77" s="7" t="n"/>
      <c r="F77" s="7" t="n"/>
      <c r="G77" s="7" t="n"/>
      <c r="H77" s="18" t="n"/>
      <c r="I77" s="7" t="n"/>
      <c r="J77" s="7" t="n"/>
      <c r="K77" s="7" t="n"/>
      <c r="L77" s="12">
        <f>IF(F77="","",INT(F77/0.5))</f>
        <v/>
      </c>
      <c r="M77" s="7" t="n"/>
    </row>
    <row r="78">
      <c r="A78" s="7" t="n"/>
      <c r="B78" s="7" t="n"/>
      <c r="C78" s="12">
        <f>IFERROR(INDEX(Produkte!$B$2:$B$301,MATCH(B78,Produkte!$A$2:$A$301,0)),"")</f>
        <v/>
      </c>
      <c r="D78" s="7" t="n"/>
      <c r="E78" s="7" t="n"/>
      <c r="F78" s="7" t="n"/>
      <c r="G78" s="7" t="n"/>
      <c r="H78" s="18" t="n"/>
      <c r="I78" s="7" t="n"/>
      <c r="J78" s="7" t="n"/>
      <c r="K78" s="7" t="n"/>
      <c r="L78" s="12">
        <f>IF(F78="","",INT(F78/0.5))</f>
        <v/>
      </c>
      <c r="M78" s="7" t="n"/>
    </row>
    <row r="79">
      <c r="A79" s="7" t="n"/>
      <c r="B79" s="7" t="n"/>
      <c r="C79" s="12">
        <f>IFERROR(INDEX(Produkte!$B$2:$B$301,MATCH(B79,Produkte!$A$2:$A$301,0)),"")</f>
        <v/>
      </c>
      <c r="D79" s="7" t="n"/>
      <c r="E79" s="7" t="n"/>
      <c r="F79" s="7" t="n"/>
      <c r="G79" s="7" t="n"/>
      <c r="H79" s="18" t="n"/>
      <c r="I79" s="7" t="n"/>
      <c r="J79" s="7" t="n"/>
      <c r="K79" s="7" t="n"/>
      <c r="L79" s="12">
        <f>IF(F79="","",INT(F79/0.5))</f>
        <v/>
      </c>
      <c r="M79" s="7" t="n"/>
    </row>
    <row r="80">
      <c r="A80" s="7" t="n"/>
      <c r="B80" s="7" t="n"/>
      <c r="C80" s="12">
        <f>IFERROR(INDEX(Produkte!$B$2:$B$301,MATCH(B80,Produkte!$A$2:$A$301,0)),"")</f>
        <v/>
      </c>
      <c r="D80" s="7" t="n"/>
      <c r="E80" s="7" t="n"/>
      <c r="F80" s="7" t="n"/>
      <c r="G80" s="7" t="n"/>
      <c r="H80" s="18" t="n"/>
      <c r="I80" s="7" t="n"/>
      <c r="J80" s="7" t="n"/>
      <c r="K80" s="7" t="n"/>
      <c r="L80" s="12">
        <f>IF(F80="","",INT(F80/0.5))</f>
        <v/>
      </c>
      <c r="M80" s="7" t="n"/>
    </row>
    <row r="81">
      <c r="A81" s="7" t="n"/>
      <c r="B81" s="7" t="n"/>
      <c r="C81" s="12">
        <f>IFERROR(INDEX(Produkte!$B$2:$B$301,MATCH(B81,Produkte!$A$2:$A$301,0)),"")</f>
        <v/>
      </c>
      <c r="D81" s="7" t="n"/>
      <c r="E81" s="7" t="n"/>
      <c r="F81" s="7" t="n"/>
      <c r="G81" s="7" t="n"/>
      <c r="H81" s="18" t="n"/>
      <c r="I81" s="7" t="n"/>
      <c r="J81" s="7" t="n"/>
      <c r="K81" s="7" t="n"/>
      <c r="L81" s="12">
        <f>IF(F81="","",INT(F81/0.5))</f>
        <v/>
      </c>
      <c r="M81" s="7" t="n"/>
    </row>
    <row r="82">
      <c r="A82" s="7" t="n"/>
      <c r="B82" s="7" t="n"/>
      <c r="C82" s="12">
        <f>IFERROR(INDEX(Produkte!$B$2:$B$301,MATCH(B82,Produkte!$A$2:$A$301,0)),"")</f>
        <v/>
      </c>
      <c r="D82" s="7" t="n"/>
      <c r="E82" s="7" t="n"/>
      <c r="F82" s="7" t="n"/>
      <c r="G82" s="7" t="n"/>
      <c r="H82" s="18" t="n"/>
      <c r="I82" s="7" t="n"/>
      <c r="J82" s="7" t="n"/>
      <c r="K82" s="7" t="n"/>
      <c r="L82" s="12">
        <f>IF(F82="","",INT(F82/0.5))</f>
        <v/>
      </c>
      <c r="M82" s="7" t="n"/>
    </row>
    <row r="83">
      <c r="A83" s="7" t="n"/>
      <c r="B83" s="7" t="n"/>
      <c r="C83" s="12">
        <f>IFERROR(INDEX(Produkte!$B$2:$B$301,MATCH(B83,Produkte!$A$2:$A$301,0)),"")</f>
        <v/>
      </c>
      <c r="D83" s="7" t="n"/>
      <c r="E83" s="7" t="n"/>
      <c r="F83" s="7" t="n"/>
      <c r="G83" s="7" t="n"/>
      <c r="H83" s="18" t="n"/>
      <c r="I83" s="7" t="n"/>
      <c r="J83" s="7" t="n"/>
      <c r="K83" s="7" t="n"/>
      <c r="L83" s="12">
        <f>IF(F83="","",INT(F83/0.5))</f>
        <v/>
      </c>
      <c r="M83" s="7" t="n"/>
    </row>
    <row r="84">
      <c r="A84" s="7" t="n"/>
      <c r="B84" s="7" t="n"/>
      <c r="C84" s="12">
        <f>IFERROR(INDEX(Produkte!$B$2:$B$301,MATCH(B84,Produkte!$A$2:$A$301,0)),"")</f>
        <v/>
      </c>
      <c r="D84" s="7" t="n"/>
      <c r="E84" s="7" t="n"/>
      <c r="F84" s="7" t="n"/>
      <c r="G84" s="7" t="n"/>
      <c r="H84" s="18" t="n"/>
      <c r="I84" s="7" t="n"/>
      <c r="J84" s="7" t="n"/>
      <c r="K84" s="7" t="n"/>
      <c r="L84" s="12">
        <f>IF(F84="","",INT(F84/0.5))</f>
        <v/>
      </c>
      <c r="M84" s="7" t="n"/>
    </row>
    <row r="85">
      <c r="A85" s="7" t="n"/>
      <c r="B85" s="7" t="n"/>
      <c r="C85" s="12">
        <f>IFERROR(INDEX(Produkte!$B$2:$B$301,MATCH(B85,Produkte!$A$2:$A$301,0)),"")</f>
        <v/>
      </c>
      <c r="D85" s="7" t="n"/>
      <c r="E85" s="7" t="n"/>
      <c r="F85" s="7" t="n"/>
      <c r="G85" s="7" t="n"/>
      <c r="H85" s="18" t="n"/>
      <c r="I85" s="7" t="n"/>
      <c r="J85" s="7" t="n"/>
      <c r="K85" s="7" t="n"/>
      <c r="L85" s="12">
        <f>IF(F85="","",INT(F85/0.5))</f>
        <v/>
      </c>
      <c r="M85" s="7" t="n"/>
    </row>
    <row r="86">
      <c r="A86" s="7" t="n"/>
      <c r="B86" s="7" t="n"/>
      <c r="C86" s="12">
        <f>IFERROR(INDEX(Produkte!$B$2:$B$301,MATCH(B86,Produkte!$A$2:$A$301,0)),"")</f>
        <v/>
      </c>
      <c r="D86" s="7" t="n"/>
      <c r="E86" s="7" t="n"/>
      <c r="F86" s="7" t="n"/>
      <c r="G86" s="7" t="n"/>
      <c r="H86" s="18" t="n"/>
      <c r="I86" s="7" t="n"/>
      <c r="J86" s="7" t="n"/>
      <c r="K86" s="7" t="n"/>
      <c r="L86" s="12">
        <f>IF(F86="","",INT(F86/0.5))</f>
        <v/>
      </c>
      <c r="M86" s="7" t="n"/>
    </row>
    <row r="87">
      <c r="A87" s="7" t="n"/>
      <c r="B87" s="7" t="n"/>
      <c r="C87" s="12">
        <f>IFERROR(INDEX(Produkte!$B$2:$B$301,MATCH(B87,Produkte!$A$2:$A$301,0)),"")</f>
        <v/>
      </c>
      <c r="D87" s="7" t="n"/>
      <c r="E87" s="7" t="n"/>
      <c r="F87" s="7" t="n"/>
      <c r="G87" s="7" t="n"/>
      <c r="H87" s="18" t="n"/>
      <c r="I87" s="7" t="n"/>
      <c r="J87" s="7" t="n"/>
      <c r="K87" s="7" t="n"/>
      <c r="L87" s="12">
        <f>IF(F87="","",INT(F87/0.5))</f>
        <v/>
      </c>
      <c r="M87" s="7" t="n"/>
    </row>
    <row r="88">
      <c r="A88" s="7" t="n"/>
      <c r="B88" s="7" t="n"/>
      <c r="C88" s="12">
        <f>IFERROR(INDEX(Produkte!$B$2:$B$301,MATCH(B88,Produkte!$A$2:$A$301,0)),"")</f>
        <v/>
      </c>
      <c r="D88" s="7" t="n"/>
      <c r="E88" s="7" t="n"/>
      <c r="F88" s="7" t="n"/>
      <c r="G88" s="7" t="n"/>
      <c r="H88" s="18" t="n"/>
      <c r="I88" s="7" t="n"/>
      <c r="J88" s="7" t="n"/>
      <c r="K88" s="7" t="n"/>
      <c r="L88" s="12">
        <f>IF(F88="","",INT(F88/0.5))</f>
        <v/>
      </c>
      <c r="M88" s="7" t="n"/>
    </row>
    <row r="89">
      <c r="A89" s="7" t="n"/>
      <c r="B89" s="7" t="n"/>
      <c r="C89" s="12">
        <f>IFERROR(INDEX(Produkte!$B$2:$B$301,MATCH(B89,Produkte!$A$2:$A$301,0)),"")</f>
        <v/>
      </c>
      <c r="D89" s="7" t="n"/>
      <c r="E89" s="7" t="n"/>
      <c r="F89" s="7" t="n"/>
      <c r="G89" s="7" t="n"/>
      <c r="H89" s="18" t="n"/>
      <c r="I89" s="7" t="n"/>
      <c r="J89" s="7" t="n"/>
      <c r="K89" s="7" t="n"/>
      <c r="L89" s="12">
        <f>IF(F89="","",INT(F89/0.5))</f>
        <v/>
      </c>
      <c r="M89" s="7" t="n"/>
    </row>
    <row r="90">
      <c r="A90" s="7" t="n"/>
      <c r="B90" s="7" t="n"/>
      <c r="C90" s="12">
        <f>IFERROR(INDEX(Produkte!$B$2:$B$301,MATCH(B90,Produkte!$A$2:$A$301,0)),"")</f>
        <v/>
      </c>
      <c r="D90" s="7" t="n"/>
      <c r="E90" s="7" t="n"/>
      <c r="F90" s="7" t="n"/>
      <c r="G90" s="7" t="n"/>
      <c r="H90" s="18" t="n"/>
      <c r="I90" s="7" t="n"/>
      <c r="J90" s="7" t="n"/>
      <c r="K90" s="7" t="n"/>
      <c r="L90" s="12">
        <f>IF(F90="","",INT(F90/0.5))</f>
        <v/>
      </c>
      <c r="M90" s="7" t="n"/>
    </row>
    <row r="91">
      <c r="A91" s="7" t="n"/>
      <c r="B91" s="7" t="n"/>
      <c r="C91" s="12">
        <f>IFERROR(INDEX(Produkte!$B$2:$B$301,MATCH(B91,Produkte!$A$2:$A$301,0)),"")</f>
        <v/>
      </c>
      <c r="D91" s="7" t="n"/>
      <c r="E91" s="7" t="n"/>
      <c r="F91" s="7" t="n"/>
      <c r="G91" s="7" t="n"/>
      <c r="H91" s="18" t="n"/>
      <c r="I91" s="7" t="n"/>
      <c r="J91" s="7" t="n"/>
      <c r="K91" s="7" t="n"/>
      <c r="L91" s="12">
        <f>IF(F91="","",INT(F91/0.5))</f>
        <v/>
      </c>
      <c r="M91" s="7" t="n"/>
    </row>
    <row r="92">
      <c r="A92" s="7" t="n"/>
      <c r="B92" s="7" t="n"/>
      <c r="C92" s="12">
        <f>IFERROR(INDEX(Produkte!$B$2:$B$301,MATCH(B92,Produkte!$A$2:$A$301,0)),"")</f>
        <v/>
      </c>
      <c r="D92" s="7" t="n"/>
      <c r="E92" s="7" t="n"/>
      <c r="F92" s="7" t="n"/>
      <c r="G92" s="7" t="n"/>
      <c r="H92" s="18" t="n"/>
      <c r="I92" s="7" t="n"/>
      <c r="J92" s="7" t="n"/>
      <c r="K92" s="7" t="n"/>
      <c r="L92" s="12">
        <f>IF(F92="","",INT(F92/0.5))</f>
        <v/>
      </c>
      <c r="M92" s="7" t="n"/>
    </row>
    <row r="93">
      <c r="A93" s="7" t="n"/>
      <c r="B93" s="7" t="n"/>
      <c r="C93" s="12">
        <f>IFERROR(INDEX(Produkte!$B$2:$B$301,MATCH(B93,Produkte!$A$2:$A$301,0)),"")</f>
        <v/>
      </c>
      <c r="D93" s="7" t="n"/>
      <c r="E93" s="7" t="n"/>
      <c r="F93" s="7" t="n"/>
      <c r="G93" s="7" t="n"/>
      <c r="H93" s="18" t="n"/>
      <c r="I93" s="7" t="n"/>
      <c r="J93" s="7" t="n"/>
      <c r="K93" s="7" t="n"/>
      <c r="L93" s="12">
        <f>IF(F93="","",INT(F93/0.5))</f>
        <v/>
      </c>
      <c r="M93" s="7" t="n"/>
    </row>
    <row r="94">
      <c r="A94" s="7" t="n"/>
      <c r="B94" s="7" t="n"/>
      <c r="C94" s="12">
        <f>IFERROR(INDEX(Produkte!$B$2:$B$301,MATCH(B94,Produkte!$A$2:$A$301,0)),"")</f>
        <v/>
      </c>
      <c r="D94" s="7" t="n"/>
      <c r="E94" s="7" t="n"/>
      <c r="F94" s="7" t="n"/>
      <c r="G94" s="7" t="n"/>
      <c r="H94" s="18" t="n"/>
      <c r="I94" s="7" t="n"/>
      <c r="J94" s="7" t="n"/>
      <c r="K94" s="7" t="n"/>
      <c r="L94" s="12">
        <f>IF(F94="","",INT(F94/0.5))</f>
        <v/>
      </c>
      <c r="M94" s="7" t="n"/>
    </row>
    <row r="95">
      <c r="A95" s="7" t="n"/>
      <c r="B95" s="7" t="n"/>
      <c r="C95" s="12">
        <f>IFERROR(INDEX(Produkte!$B$2:$B$301,MATCH(B95,Produkte!$A$2:$A$301,0)),"")</f>
        <v/>
      </c>
      <c r="D95" s="7" t="n"/>
      <c r="E95" s="7" t="n"/>
      <c r="F95" s="7" t="n"/>
      <c r="G95" s="7" t="n"/>
      <c r="H95" s="18" t="n"/>
      <c r="I95" s="7" t="n"/>
      <c r="J95" s="7" t="n"/>
      <c r="K95" s="7" t="n"/>
      <c r="L95" s="12">
        <f>IF(F95="","",INT(F95/0.5))</f>
        <v/>
      </c>
      <c r="M95" s="7" t="n"/>
    </row>
    <row r="96">
      <c r="A96" s="7" t="n"/>
      <c r="B96" s="7" t="n"/>
      <c r="C96" s="12">
        <f>IFERROR(INDEX(Produkte!$B$2:$B$301,MATCH(B96,Produkte!$A$2:$A$301,0)),"")</f>
        <v/>
      </c>
      <c r="D96" s="7" t="n"/>
      <c r="E96" s="7" t="n"/>
      <c r="F96" s="7" t="n"/>
      <c r="G96" s="7" t="n"/>
      <c r="H96" s="18" t="n"/>
      <c r="I96" s="7" t="n"/>
      <c r="J96" s="7" t="n"/>
      <c r="K96" s="7" t="n"/>
      <c r="L96" s="12">
        <f>IF(F96="","",INT(F96/0.5))</f>
        <v/>
      </c>
      <c r="M96" s="7" t="n"/>
    </row>
    <row r="97">
      <c r="A97" s="7" t="n"/>
      <c r="B97" s="7" t="n"/>
      <c r="C97" s="12">
        <f>IFERROR(INDEX(Produkte!$B$2:$B$301,MATCH(B97,Produkte!$A$2:$A$301,0)),"")</f>
        <v/>
      </c>
      <c r="D97" s="7" t="n"/>
      <c r="E97" s="7" t="n"/>
      <c r="F97" s="7" t="n"/>
      <c r="G97" s="7" t="n"/>
      <c r="H97" s="18" t="n"/>
      <c r="I97" s="7" t="n"/>
      <c r="J97" s="7" t="n"/>
      <c r="K97" s="7" t="n"/>
      <c r="L97" s="12">
        <f>IF(F97="","",INT(F97/0.5))</f>
        <v/>
      </c>
      <c r="M97" s="7" t="n"/>
    </row>
    <row r="98">
      <c r="A98" s="7" t="n"/>
      <c r="B98" s="7" t="n"/>
      <c r="C98" s="12">
        <f>IFERROR(INDEX(Produkte!$B$2:$B$301,MATCH(B98,Produkte!$A$2:$A$301,0)),"")</f>
        <v/>
      </c>
      <c r="D98" s="7" t="n"/>
      <c r="E98" s="7" t="n"/>
      <c r="F98" s="7" t="n"/>
      <c r="G98" s="7" t="n"/>
      <c r="H98" s="18" t="n"/>
      <c r="I98" s="7" t="n"/>
      <c r="J98" s="7" t="n"/>
      <c r="K98" s="7" t="n"/>
      <c r="L98" s="12">
        <f>IF(F98="","",INT(F98/0.5))</f>
        <v/>
      </c>
      <c r="M98" s="7" t="n"/>
    </row>
    <row r="99">
      <c r="A99" s="7" t="n"/>
      <c r="B99" s="7" t="n"/>
      <c r="C99" s="12">
        <f>IFERROR(INDEX(Produkte!$B$2:$B$301,MATCH(B99,Produkte!$A$2:$A$301,0)),"")</f>
        <v/>
      </c>
      <c r="D99" s="7" t="n"/>
      <c r="E99" s="7" t="n"/>
      <c r="F99" s="7" t="n"/>
      <c r="G99" s="7" t="n"/>
      <c r="H99" s="18" t="n"/>
      <c r="I99" s="7" t="n"/>
      <c r="J99" s="7" t="n"/>
      <c r="K99" s="7" t="n"/>
      <c r="L99" s="12">
        <f>IF(F99="","",INT(F99/0.5))</f>
        <v/>
      </c>
      <c r="M99" s="7" t="n"/>
    </row>
    <row r="100">
      <c r="A100" s="7" t="n"/>
      <c r="B100" s="7" t="n"/>
      <c r="C100" s="12">
        <f>IFERROR(INDEX(Produkte!$B$2:$B$301,MATCH(B100,Produkte!$A$2:$A$301,0)),"")</f>
        <v/>
      </c>
      <c r="D100" s="7" t="n"/>
      <c r="E100" s="7" t="n"/>
      <c r="F100" s="7" t="n"/>
      <c r="G100" s="7" t="n"/>
      <c r="H100" s="18" t="n"/>
      <c r="I100" s="7" t="n"/>
      <c r="J100" s="7" t="n"/>
      <c r="K100" s="7" t="n"/>
      <c r="L100" s="12">
        <f>IF(F100="","",INT(F100/0.5))</f>
        <v/>
      </c>
      <c r="M100" s="7" t="n"/>
    </row>
    <row r="101">
      <c r="A101" s="7" t="n"/>
      <c r="B101" s="7" t="n"/>
      <c r="C101" s="12">
        <f>IFERROR(INDEX(Produkte!$B$2:$B$301,MATCH(B101,Produkte!$A$2:$A$301,0)),"")</f>
        <v/>
      </c>
      <c r="D101" s="7" t="n"/>
      <c r="E101" s="7" t="n"/>
      <c r="F101" s="7" t="n"/>
      <c r="G101" s="7" t="n"/>
      <c r="H101" s="18" t="n"/>
      <c r="I101" s="7" t="n"/>
      <c r="J101" s="7" t="n"/>
      <c r="K101" s="7" t="n"/>
      <c r="L101" s="12">
        <f>IF(F101="","",INT(F101/0.5))</f>
        <v/>
      </c>
      <c r="M101" s="7" t="n"/>
    </row>
    <row r="102">
      <c r="A102" s="7" t="n"/>
      <c r="B102" s="7" t="n"/>
      <c r="C102" s="12">
        <f>IFERROR(INDEX(Produkte!$B$2:$B$301,MATCH(B102,Produkte!$A$2:$A$301,0)),"")</f>
        <v/>
      </c>
      <c r="D102" s="7" t="n"/>
      <c r="E102" s="7" t="n"/>
      <c r="F102" s="7" t="n"/>
      <c r="G102" s="7" t="n"/>
      <c r="H102" s="18" t="n"/>
      <c r="I102" s="7" t="n"/>
      <c r="J102" s="7" t="n"/>
      <c r="K102" s="7" t="n"/>
      <c r="L102" s="12">
        <f>IF(F102="","",INT(F102/0.5))</f>
        <v/>
      </c>
      <c r="M102" s="7" t="n"/>
    </row>
    <row r="103">
      <c r="A103" s="7" t="n"/>
      <c r="B103" s="7" t="n"/>
      <c r="C103" s="12">
        <f>IFERROR(INDEX(Produkte!$B$2:$B$301,MATCH(B103,Produkte!$A$2:$A$301,0)),"")</f>
        <v/>
      </c>
      <c r="D103" s="7" t="n"/>
      <c r="E103" s="7" t="n"/>
      <c r="F103" s="7" t="n"/>
      <c r="G103" s="7" t="n"/>
      <c r="H103" s="18" t="n"/>
      <c r="I103" s="7" t="n"/>
      <c r="J103" s="7" t="n"/>
      <c r="K103" s="7" t="n"/>
      <c r="L103" s="12">
        <f>IF(F103="","",INT(F103/0.5))</f>
        <v/>
      </c>
      <c r="M103" s="7" t="n"/>
    </row>
    <row r="104">
      <c r="A104" s="7" t="n"/>
      <c r="B104" s="7" t="n"/>
      <c r="C104" s="12">
        <f>IFERROR(INDEX(Produkte!$B$2:$B$301,MATCH(B104,Produkte!$A$2:$A$301,0)),"")</f>
        <v/>
      </c>
      <c r="D104" s="7" t="n"/>
      <c r="E104" s="7" t="n"/>
      <c r="F104" s="7" t="n"/>
      <c r="G104" s="7" t="n"/>
      <c r="H104" s="18" t="n"/>
      <c r="I104" s="7" t="n"/>
      <c r="J104" s="7" t="n"/>
      <c r="K104" s="7" t="n"/>
      <c r="L104" s="12">
        <f>IF(F104="","",INT(F104/0.5))</f>
        <v/>
      </c>
      <c r="M104" s="7" t="n"/>
    </row>
    <row r="105">
      <c r="A105" s="7" t="n"/>
      <c r="B105" s="7" t="n"/>
      <c r="C105" s="12">
        <f>IFERROR(INDEX(Produkte!$B$2:$B$301,MATCH(B105,Produkte!$A$2:$A$301,0)),"")</f>
        <v/>
      </c>
      <c r="D105" s="7" t="n"/>
      <c r="E105" s="7" t="n"/>
      <c r="F105" s="7" t="n"/>
      <c r="G105" s="7" t="n"/>
      <c r="H105" s="18" t="n"/>
      <c r="I105" s="7" t="n"/>
      <c r="J105" s="7" t="n"/>
      <c r="K105" s="7" t="n"/>
      <c r="L105" s="12">
        <f>IF(F105="","",INT(F105/0.5))</f>
        <v/>
      </c>
      <c r="M105" s="7" t="n"/>
    </row>
    <row r="106">
      <c r="A106" s="7" t="n"/>
      <c r="B106" s="7" t="n"/>
      <c r="C106" s="12">
        <f>IFERROR(INDEX(Produkte!$B$2:$B$301,MATCH(B106,Produkte!$A$2:$A$301,0)),"")</f>
        <v/>
      </c>
      <c r="D106" s="7" t="n"/>
      <c r="E106" s="7" t="n"/>
      <c r="F106" s="7" t="n"/>
      <c r="G106" s="7" t="n"/>
      <c r="H106" s="18" t="n"/>
      <c r="I106" s="7" t="n"/>
      <c r="J106" s="7" t="n"/>
      <c r="K106" s="7" t="n"/>
      <c r="L106" s="12">
        <f>IF(F106="","",INT(F106/0.5))</f>
        <v/>
      </c>
      <c r="M106" s="7" t="n"/>
    </row>
    <row r="107">
      <c r="A107" s="7" t="n"/>
      <c r="B107" s="7" t="n"/>
      <c r="C107" s="12">
        <f>IFERROR(INDEX(Produkte!$B$2:$B$301,MATCH(B107,Produkte!$A$2:$A$301,0)),"")</f>
        <v/>
      </c>
      <c r="D107" s="7" t="n"/>
      <c r="E107" s="7" t="n"/>
      <c r="F107" s="7" t="n"/>
      <c r="G107" s="7" t="n"/>
      <c r="H107" s="18" t="n"/>
      <c r="I107" s="7" t="n"/>
      <c r="J107" s="7" t="n"/>
      <c r="K107" s="7" t="n"/>
      <c r="L107" s="12">
        <f>IF(F107="","",INT(F107/0.5))</f>
        <v/>
      </c>
      <c r="M107" s="7" t="n"/>
    </row>
    <row r="108">
      <c r="A108" s="7" t="n"/>
      <c r="B108" s="7" t="n"/>
      <c r="C108" s="12">
        <f>IFERROR(INDEX(Produkte!$B$2:$B$301,MATCH(B108,Produkte!$A$2:$A$301,0)),"")</f>
        <v/>
      </c>
      <c r="D108" s="7" t="n"/>
      <c r="E108" s="7" t="n"/>
      <c r="F108" s="7" t="n"/>
      <c r="G108" s="7" t="n"/>
      <c r="H108" s="18" t="n"/>
      <c r="I108" s="7" t="n"/>
      <c r="J108" s="7" t="n"/>
      <c r="K108" s="7" t="n"/>
      <c r="L108" s="12">
        <f>IF(F108="","",INT(F108/0.5))</f>
        <v/>
      </c>
      <c r="M108" s="7" t="n"/>
    </row>
    <row r="109">
      <c r="A109" s="7" t="n"/>
      <c r="B109" s="7" t="n"/>
      <c r="C109" s="12">
        <f>IFERROR(INDEX(Produkte!$B$2:$B$301,MATCH(B109,Produkte!$A$2:$A$301,0)),"")</f>
        <v/>
      </c>
      <c r="D109" s="7" t="n"/>
      <c r="E109" s="7" t="n"/>
      <c r="F109" s="7" t="n"/>
      <c r="G109" s="7" t="n"/>
      <c r="H109" s="18" t="n"/>
      <c r="I109" s="7" t="n"/>
      <c r="J109" s="7" t="n"/>
      <c r="K109" s="7" t="n"/>
      <c r="L109" s="12">
        <f>IF(F109="","",INT(F109/0.5))</f>
        <v/>
      </c>
      <c r="M109" s="7" t="n"/>
    </row>
    <row r="110">
      <c r="A110" s="7" t="n"/>
      <c r="B110" s="7" t="n"/>
      <c r="C110" s="12">
        <f>IFERROR(INDEX(Produkte!$B$2:$B$301,MATCH(B110,Produkte!$A$2:$A$301,0)),"")</f>
        <v/>
      </c>
      <c r="D110" s="7" t="n"/>
      <c r="E110" s="7" t="n"/>
      <c r="F110" s="7" t="n"/>
      <c r="G110" s="7" t="n"/>
      <c r="H110" s="18" t="n"/>
      <c r="I110" s="7" t="n"/>
      <c r="J110" s="7" t="n"/>
      <c r="K110" s="7" t="n"/>
      <c r="L110" s="12">
        <f>IF(F110="","",INT(F110/0.5))</f>
        <v/>
      </c>
      <c r="M110" s="7" t="n"/>
    </row>
    <row r="111">
      <c r="A111" s="7" t="n"/>
      <c r="B111" s="7" t="n"/>
      <c r="C111" s="12">
        <f>IFERROR(INDEX(Produkte!$B$2:$B$301,MATCH(B111,Produkte!$A$2:$A$301,0)),"")</f>
        <v/>
      </c>
      <c r="D111" s="7" t="n"/>
      <c r="E111" s="7" t="n"/>
      <c r="F111" s="7" t="n"/>
      <c r="G111" s="7" t="n"/>
      <c r="H111" s="18" t="n"/>
      <c r="I111" s="7" t="n"/>
      <c r="J111" s="7" t="n"/>
      <c r="K111" s="7" t="n"/>
      <c r="L111" s="12">
        <f>IF(F111="","",INT(F111/0.5))</f>
        <v/>
      </c>
      <c r="M111" s="7" t="n"/>
    </row>
    <row r="112">
      <c r="A112" s="7" t="n"/>
      <c r="B112" s="7" t="n"/>
      <c r="C112" s="12">
        <f>IFERROR(INDEX(Produkte!$B$2:$B$301,MATCH(B112,Produkte!$A$2:$A$301,0)),"")</f>
        <v/>
      </c>
      <c r="D112" s="7" t="n"/>
      <c r="E112" s="7" t="n"/>
      <c r="F112" s="7" t="n"/>
      <c r="G112" s="7" t="n"/>
      <c r="H112" s="18" t="n"/>
      <c r="I112" s="7" t="n"/>
      <c r="J112" s="7" t="n"/>
      <c r="K112" s="7" t="n"/>
      <c r="L112" s="12">
        <f>IF(F112="","",INT(F112/0.5))</f>
        <v/>
      </c>
      <c r="M112" s="7" t="n"/>
    </row>
    <row r="113">
      <c r="A113" s="7" t="n"/>
      <c r="B113" s="7" t="n"/>
      <c r="C113" s="12">
        <f>IFERROR(INDEX(Produkte!$B$2:$B$301,MATCH(B113,Produkte!$A$2:$A$301,0)),"")</f>
        <v/>
      </c>
      <c r="D113" s="7" t="n"/>
      <c r="E113" s="7" t="n"/>
      <c r="F113" s="7" t="n"/>
      <c r="G113" s="7" t="n"/>
      <c r="H113" s="18" t="n"/>
      <c r="I113" s="7" t="n"/>
      <c r="J113" s="7" t="n"/>
      <c r="K113" s="7" t="n"/>
      <c r="L113" s="12">
        <f>IF(F113="","",INT(F113/0.5))</f>
        <v/>
      </c>
      <c r="M113" s="7" t="n"/>
    </row>
    <row r="114">
      <c r="A114" s="7" t="n"/>
      <c r="B114" s="7" t="n"/>
      <c r="C114" s="12">
        <f>IFERROR(INDEX(Produkte!$B$2:$B$301,MATCH(B114,Produkte!$A$2:$A$301,0)),"")</f>
        <v/>
      </c>
      <c r="D114" s="7" t="n"/>
      <c r="E114" s="7" t="n"/>
      <c r="F114" s="7" t="n"/>
      <c r="G114" s="7" t="n"/>
      <c r="H114" s="18" t="n"/>
      <c r="I114" s="7" t="n"/>
      <c r="J114" s="7" t="n"/>
      <c r="K114" s="7" t="n"/>
      <c r="L114" s="12">
        <f>IF(F114="","",INT(F114/0.5))</f>
        <v/>
      </c>
      <c r="M114" s="7" t="n"/>
    </row>
    <row r="115">
      <c r="A115" s="7" t="n"/>
      <c r="B115" s="7" t="n"/>
      <c r="C115" s="12">
        <f>IFERROR(INDEX(Produkte!$B$2:$B$301,MATCH(B115,Produkte!$A$2:$A$301,0)),"")</f>
        <v/>
      </c>
      <c r="D115" s="7" t="n"/>
      <c r="E115" s="7" t="n"/>
      <c r="F115" s="7" t="n"/>
      <c r="G115" s="7" t="n"/>
      <c r="H115" s="18" t="n"/>
      <c r="I115" s="7" t="n"/>
      <c r="J115" s="7" t="n"/>
      <c r="K115" s="7" t="n"/>
      <c r="L115" s="12">
        <f>IF(F115="","",INT(F115/0.5))</f>
        <v/>
      </c>
      <c r="M115" s="7" t="n"/>
    </row>
    <row r="116">
      <c r="A116" s="7" t="n"/>
      <c r="B116" s="7" t="n"/>
      <c r="C116" s="12">
        <f>IFERROR(INDEX(Produkte!$B$2:$B$301,MATCH(B116,Produkte!$A$2:$A$301,0)),"")</f>
        <v/>
      </c>
      <c r="D116" s="7" t="n"/>
      <c r="E116" s="7" t="n"/>
      <c r="F116" s="7" t="n"/>
      <c r="G116" s="7" t="n"/>
      <c r="H116" s="18" t="n"/>
      <c r="I116" s="7" t="n"/>
      <c r="J116" s="7" t="n"/>
      <c r="K116" s="7" t="n"/>
      <c r="L116" s="12">
        <f>IF(F116="","",INT(F116/0.5))</f>
        <v/>
      </c>
      <c r="M116" s="7" t="n"/>
    </row>
    <row r="117">
      <c r="A117" s="7" t="n"/>
      <c r="B117" s="7" t="n"/>
      <c r="C117" s="12">
        <f>IFERROR(INDEX(Produkte!$B$2:$B$301,MATCH(B117,Produkte!$A$2:$A$301,0)),"")</f>
        <v/>
      </c>
      <c r="D117" s="7" t="n"/>
      <c r="E117" s="7" t="n"/>
      <c r="F117" s="7" t="n"/>
      <c r="G117" s="7" t="n"/>
      <c r="H117" s="18" t="n"/>
      <c r="I117" s="7" t="n"/>
      <c r="J117" s="7" t="n"/>
      <c r="K117" s="7" t="n"/>
      <c r="L117" s="12">
        <f>IF(F117="","",INT(F117/0.5))</f>
        <v/>
      </c>
      <c r="M117" s="7" t="n"/>
    </row>
    <row r="118">
      <c r="A118" s="7" t="n"/>
      <c r="B118" s="7" t="n"/>
      <c r="C118" s="12">
        <f>IFERROR(INDEX(Produkte!$B$2:$B$301,MATCH(B118,Produkte!$A$2:$A$301,0)),"")</f>
        <v/>
      </c>
      <c r="D118" s="7" t="n"/>
      <c r="E118" s="7" t="n"/>
      <c r="F118" s="7" t="n"/>
      <c r="G118" s="7" t="n"/>
      <c r="H118" s="18" t="n"/>
      <c r="I118" s="7" t="n"/>
      <c r="J118" s="7" t="n"/>
      <c r="K118" s="7" t="n"/>
      <c r="L118" s="12">
        <f>IF(F118="","",INT(F118/0.5))</f>
        <v/>
      </c>
      <c r="M118" s="7" t="n"/>
    </row>
    <row r="119">
      <c r="A119" s="7" t="n"/>
      <c r="B119" s="7" t="n"/>
      <c r="C119" s="12">
        <f>IFERROR(INDEX(Produkte!$B$2:$B$301,MATCH(B119,Produkte!$A$2:$A$301,0)),"")</f>
        <v/>
      </c>
      <c r="D119" s="7" t="n"/>
      <c r="E119" s="7" t="n"/>
      <c r="F119" s="7" t="n"/>
      <c r="G119" s="7" t="n"/>
      <c r="H119" s="18" t="n"/>
      <c r="I119" s="7" t="n"/>
      <c r="J119" s="7" t="n"/>
      <c r="K119" s="7" t="n"/>
      <c r="L119" s="12">
        <f>IF(F119="","",INT(F119/0.5))</f>
        <v/>
      </c>
      <c r="M119" s="7" t="n"/>
    </row>
    <row r="120">
      <c r="A120" s="7" t="n"/>
      <c r="B120" s="7" t="n"/>
      <c r="C120" s="12">
        <f>IFERROR(INDEX(Produkte!$B$2:$B$301,MATCH(B120,Produkte!$A$2:$A$301,0)),"")</f>
        <v/>
      </c>
      <c r="D120" s="7" t="n"/>
      <c r="E120" s="7" t="n"/>
      <c r="F120" s="7" t="n"/>
      <c r="G120" s="7" t="n"/>
      <c r="H120" s="18" t="n"/>
      <c r="I120" s="7" t="n"/>
      <c r="J120" s="7" t="n"/>
      <c r="K120" s="7" t="n"/>
      <c r="L120" s="12">
        <f>IF(F120="","",INT(F120/0.5))</f>
        <v/>
      </c>
      <c r="M120" s="7" t="n"/>
    </row>
    <row r="121">
      <c r="A121" s="7" t="n"/>
      <c r="B121" s="7" t="n"/>
      <c r="C121" s="12">
        <f>IFERROR(INDEX(Produkte!$B$2:$B$301,MATCH(B121,Produkte!$A$2:$A$301,0)),"")</f>
        <v/>
      </c>
      <c r="D121" s="7" t="n"/>
      <c r="E121" s="7" t="n"/>
      <c r="F121" s="7" t="n"/>
      <c r="G121" s="7" t="n"/>
      <c r="H121" s="18" t="n"/>
      <c r="I121" s="7" t="n"/>
      <c r="J121" s="7" t="n"/>
      <c r="K121" s="7" t="n"/>
      <c r="L121" s="12">
        <f>IF(F121="","",INT(F121/0.5))</f>
        <v/>
      </c>
      <c r="M121" s="7" t="n"/>
    </row>
    <row r="122">
      <c r="A122" s="7" t="n"/>
      <c r="B122" s="7" t="n"/>
      <c r="C122" s="12">
        <f>IFERROR(INDEX(Produkte!$B$2:$B$301,MATCH(B122,Produkte!$A$2:$A$301,0)),"")</f>
        <v/>
      </c>
      <c r="D122" s="7" t="n"/>
      <c r="E122" s="7" t="n"/>
      <c r="F122" s="7" t="n"/>
      <c r="G122" s="7" t="n"/>
      <c r="H122" s="18" t="n"/>
      <c r="I122" s="7" t="n"/>
      <c r="J122" s="7" t="n"/>
      <c r="K122" s="7" t="n"/>
      <c r="L122" s="12">
        <f>IF(F122="","",INT(F122/0.5))</f>
        <v/>
      </c>
      <c r="M122" s="7" t="n"/>
    </row>
    <row r="123">
      <c r="A123" s="7" t="n"/>
      <c r="B123" s="7" t="n"/>
      <c r="C123" s="12">
        <f>IFERROR(INDEX(Produkte!$B$2:$B$301,MATCH(B123,Produkte!$A$2:$A$301,0)),"")</f>
        <v/>
      </c>
      <c r="D123" s="7" t="n"/>
      <c r="E123" s="7" t="n"/>
      <c r="F123" s="7" t="n"/>
      <c r="G123" s="7" t="n"/>
      <c r="H123" s="18" t="n"/>
      <c r="I123" s="7" t="n"/>
      <c r="J123" s="7" t="n"/>
      <c r="K123" s="7" t="n"/>
      <c r="L123" s="12">
        <f>IF(F123="","",INT(F123/0.5))</f>
        <v/>
      </c>
      <c r="M123" s="7" t="n"/>
    </row>
    <row r="124">
      <c r="A124" s="7" t="n"/>
      <c r="B124" s="7" t="n"/>
      <c r="C124" s="12">
        <f>IFERROR(INDEX(Produkte!$B$2:$B$301,MATCH(B124,Produkte!$A$2:$A$301,0)),"")</f>
        <v/>
      </c>
      <c r="D124" s="7" t="n"/>
      <c r="E124" s="7" t="n"/>
      <c r="F124" s="7" t="n"/>
      <c r="G124" s="7" t="n"/>
      <c r="H124" s="18" t="n"/>
      <c r="I124" s="7" t="n"/>
      <c r="J124" s="7" t="n"/>
      <c r="K124" s="7" t="n"/>
      <c r="L124" s="12">
        <f>IF(F124="","",INT(F124/0.5))</f>
        <v/>
      </c>
      <c r="M124" s="7" t="n"/>
    </row>
    <row r="125">
      <c r="A125" s="7" t="n"/>
      <c r="B125" s="7" t="n"/>
      <c r="C125" s="12">
        <f>IFERROR(INDEX(Produkte!$B$2:$B$301,MATCH(B125,Produkte!$A$2:$A$301,0)),"")</f>
        <v/>
      </c>
      <c r="D125" s="7" t="n"/>
      <c r="E125" s="7" t="n"/>
      <c r="F125" s="7" t="n"/>
      <c r="G125" s="7" t="n"/>
      <c r="H125" s="18" t="n"/>
      <c r="I125" s="7" t="n"/>
      <c r="J125" s="7" t="n"/>
      <c r="K125" s="7" t="n"/>
      <c r="L125" s="12">
        <f>IF(F125="","",INT(F125/0.5))</f>
        <v/>
      </c>
      <c r="M125" s="7" t="n"/>
    </row>
    <row r="126">
      <c r="A126" s="7" t="n"/>
      <c r="B126" s="7" t="n"/>
      <c r="C126" s="12">
        <f>IFERROR(INDEX(Produkte!$B$2:$B$301,MATCH(B126,Produkte!$A$2:$A$301,0)),"")</f>
        <v/>
      </c>
      <c r="D126" s="7" t="n"/>
      <c r="E126" s="7" t="n"/>
      <c r="F126" s="7" t="n"/>
      <c r="G126" s="7" t="n"/>
      <c r="H126" s="18" t="n"/>
      <c r="I126" s="7" t="n"/>
      <c r="J126" s="7" t="n"/>
      <c r="K126" s="7" t="n"/>
      <c r="L126" s="12">
        <f>IF(F126="","",INT(F126/0.5))</f>
        <v/>
      </c>
      <c r="M126" s="7" t="n"/>
    </row>
    <row r="127">
      <c r="A127" s="7" t="n"/>
      <c r="B127" s="7" t="n"/>
      <c r="C127" s="12">
        <f>IFERROR(INDEX(Produkte!$B$2:$B$301,MATCH(B127,Produkte!$A$2:$A$301,0)),"")</f>
        <v/>
      </c>
      <c r="D127" s="7" t="n"/>
      <c r="E127" s="7" t="n"/>
      <c r="F127" s="7" t="n"/>
      <c r="G127" s="7" t="n"/>
      <c r="H127" s="18" t="n"/>
      <c r="I127" s="7" t="n"/>
      <c r="J127" s="7" t="n"/>
      <c r="K127" s="7" t="n"/>
      <c r="L127" s="12">
        <f>IF(F127="","",INT(F127/0.5))</f>
        <v/>
      </c>
      <c r="M127" s="7" t="n"/>
    </row>
    <row r="128">
      <c r="A128" s="7" t="n"/>
      <c r="B128" s="7" t="n"/>
      <c r="C128" s="12">
        <f>IFERROR(INDEX(Produkte!$B$2:$B$301,MATCH(B128,Produkte!$A$2:$A$301,0)),"")</f>
        <v/>
      </c>
      <c r="D128" s="7" t="n"/>
      <c r="E128" s="7" t="n"/>
      <c r="F128" s="7" t="n"/>
      <c r="G128" s="7" t="n"/>
      <c r="H128" s="18" t="n"/>
      <c r="I128" s="7" t="n"/>
      <c r="J128" s="7" t="n"/>
      <c r="K128" s="7" t="n"/>
      <c r="L128" s="12">
        <f>IF(F128="","",INT(F128/0.5))</f>
        <v/>
      </c>
      <c r="M128" s="7" t="n"/>
    </row>
    <row r="129">
      <c r="A129" s="7" t="n"/>
      <c r="B129" s="7" t="n"/>
      <c r="C129" s="12">
        <f>IFERROR(INDEX(Produkte!$B$2:$B$301,MATCH(B129,Produkte!$A$2:$A$301,0)),"")</f>
        <v/>
      </c>
      <c r="D129" s="7" t="n"/>
      <c r="E129" s="7" t="n"/>
      <c r="F129" s="7" t="n"/>
      <c r="G129" s="7" t="n"/>
      <c r="H129" s="18" t="n"/>
      <c r="I129" s="7" t="n"/>
      <c r="J129" s="7" t="n"/>
      <c r="K129" s="7" t="n"/>
      <c r="L129" s="12">
        <f>IF(F129="","",INT(F129/0.5))</f>
        <v/>
      </c>
      <c r="M129" s="7" t="n"/>
    </row>
    <row r="130">
      <c r="A130" s="7" t="n"/>
      <c r="B130" s="7" t="n"/>
      <c r="C130" s="12">
        <f>IFERROR(INDEX(Produkte!$B$2:$B$301,MATCH(B130,Produkte!$A$2:$A$301,0)),"")</f>
        <v/>
      </c>
      <c r="D130" s="7" t="n"/>
      <c r="E130" s="7" t="n"/>
      <c r="F130" s="7" t="n"/>
      <c r="G130" s="7" t="n"/>
      <c r="H130" s="18" t="n"/>
      <c r="I130" s="7" t="n"/>
      <c r="J130" s="7" t="n"/>
      <c r="K130" s="7" t="n"/>
      <c r="L130" s="12">
        <f>IF(F130="","",INT(F130/0.5))</f>
        <v/>
      </c>
      <c r="M130" s="7" t="n"/>
    </row>
    <row r="131">
      <c r="A131" s="7" t="n"/>
      <c r="B131" s="7" t="n"/>
      <c r="C131" s="12">
        <f>IFERROR(INDEX(Produkte!$B$2:$B$301,MATCH(B131,Produkte!$A$2:$A$301,0)),"")</f>
        <v/>
      </c>
      <c r="D131" s="7" t="n"/>
      <c r="E131" s="7" t="n"/>
      <c r="F131" s="7" t="n"/>
      <c r="G131" s="7" t="n"/>
      <c r="H131" s="18" t="n"/>
      <c r="I131" s="7" t="n"/>
      <c r="J131" s="7" t="n"/>
      <c r="K131" s="7" t="n"/>
      <c r="L131" s="12">
        <f>IF(F131="","",INT(F131/0.5))</f>
        <v/>
      </c>
      <c r="M131" s="7" t="n"/>
    </row>
    <row r="132">
      <c r="A132" s="7" t="n"/>
      <c r="B132" s="7" t="n"/>
      <c r="C132" s="12">
        <f>IFERROR(INDEX(Produkte!$B$2:$B$301,MATCH(B132,Produkte!$A$2:$A$301,0)),"")</f>
        <v/>
      </c>
      <c r="D132" s="7" t="n"/>
      <c r="E132" s="7" t="n"/>
      <c r="F132" s="7" t="n"/>
      <c r="G132" s="7" t="n"/>
      <c r="H132" s="18" t="n"/>
      <c r="I132" s="7" t="n"/>
      <c r="J132" s="7" t="n"/>
      <c r="K132" s="7" t="n"/>
      <c r="L132" s="12">
        <f>IF(F132="","",INT(F132/0.5))</f>
        <v/>
      </c>
      <c r="M132" s="7" t="n"/>
    </row>
    <row r="133">
      <c r="A133" s="7" t="n"/>
      <c r="B133" s="7" t="n"/>
      <c r="C133" s="12">
        <f>IFERROR(INDEX(Produkte!$B$2:$B$301,MATCH(B133,Produkte!$A$2:$A$301,0)),"")</f>
        <v/>
      </c>
      <c r="D133" s="7" t="n"/>
      <c r="E133" s="7" t="n"/>
      <c r="F133" s="7" t="n"/>
      <c r="G133" s="7" t="n"/>
      <c r="H133" s="18" t="n"/>
      <c r="I133" s="7" t="n"/>
      <c r="J133" s="7" t="n"/>
      <c r="K133" s="7" t="n"/>
      <c r="L133" s="12">
        <f>IF(F133="","",INT(F133/0.5))</f>
        <v/>
      </c>
      <c r="M133" s="7" t="n"/>
    </row>
    <row r="134">
      <c r="A134" s="7" t="n"/>
      <c r="B134" s="7" t="n"/>
      <c r="C134" s="12">
        <f>IFERROR(INDEX(Produkte!$B$2:$B$301,MATCH(B134,Produkte!$A$2:$A$301,0)),"")</f>
        <v/>
      </c>
      <c r="D134" s="7" t="n"/>
      <c r="E134" s="7" t="n"/>
      <c r="F134" s="7" t="n"/>
      <c r="G134" s="7" t="n"/>
      <c r="H134" s="18" t="n"/>
      <c r="I134" s="7" t="n"/>
      <c r="J134" s="7" t="n"/>
      <c r="K134" s="7" t="n"/>
      <c r="L134" s="12">
        <f>IF(F134="","",INT(F134/0.5))</f>
        <v/>
      </c>
      <c r="M134" s="7" t="n"/>
    </row>
    <row r="135">
      <c r="A135" s="7" t="n"/>
      <c r="B135" s="7" t="n"/>
      <c r="C135" s="12">
        <f>IFERROR(INDEX(Produkte!$B$2:$B$301,MATCH(B135,Produkte!$A$2:$A$301,0)),"")</f>
        <v/>
      </c>
      <c r="D135" s="7" t="n"/>
      <c r="E135" s="7" t="n"/>
      <c r="F135" s="7" t="n"/>
      <c r="G135" s="7" t="n"/>
      <c r="H135" s="18" t="n"/>
      <c r="I135" s="7" t="n"/>
      <c r="J135" s="7" t="n"/>
      <c r="K135" s="7" t="n"/>
      <c r="L135" s="12">
        <f>IF(F135="","",INT(F135/0.5))</f>
        <v/>
      </c>
      <c r="M135" s="7" t="n"/>
    </row>
    <row r="136">
      <c r="A136" s="7" t="n"/>
      <c r="B136" s="7" t="n"/>
      <c r="C136" s="12">
        <f>IFERROR(INDEX(Produkte!$B$2:$B$301,MATCH(B136,Produkte!$A$2:$A$301,0)),"")</f>
        <v/>
      </c>
      <c r="D136" s="7" t="n"/>
      <c r="E136" s="7" t="n"/>
      <c r="F136" s="7" t="n"/>
      <c r="G136" s="7" t="n"/>
      <c r="H136" s="18" t="n"/>
      <c r="I136" s="7" t="n"/>
      <c r="J136" s="7" t="n"/>
      <c r="K136" s="7" t="n"/>
      <c r="L136" s="12">
        <f>IF(F136="","",INT(F136/0.5))</f>
        <v/>
      </c>
      <c r="M136" s="7" t="n"/>
    </row>
    <row r="137">
      <c r="A137" s="7" t="n"/>
      <c r="B137" s="7" t="n"/>
      <c r="C137" s="12">
        <f>IFERROR(INDEX(Produkte!$B$2:$B$301,MATCH(B137,Produkte!$A$2:$A$301,0)),"")</f>
        <v/>
      </c>
      <c r="D137" s="7" t="n"/>
      <c r="E137" s="7" t="n"/>
      <c r="F137" s="7" t="n"/>
      <c r="G137" s="7" t="n"/>
      <c r="H137" s="18" t="n"/>
      <c r="I137" s="7" t="n"/>
      <c r="J137" s="7" t="n"/>
      <c r="K137" s="7" t="n"/>
      <c r="L137" s="12">
        <f>IF(F137="","",INT(F137/0.5))</f>
        <v/>
      </c>
      <c r="M137" s="7" t="n"/>
    </row>
    <row r="138">
      <c r="A138" s="7" t="n"/>
      <c r="B138" s="7" t="n"/>
      <c r="C138" s="12">
        <f>IFERROR(INDEX(Produkte!$B$2:$B$301,MATCH(B138,Produkte!$A$2:$A$301,0)),"")</f>
        <v/>
      </c>
      <c r="D138" s="7" t="n"/>
      <c r="E138" s="7" t="n"/>
      <c r="F138" s="7" t="n"/>
      <c r="G138" s="7" t="n"/>
      <c r="H138" s="18" t="n"/>
      <c r="I138" s="7" t="n"/>
      <c r="J138" s="7" t="n"/>
      <c r="K138" s="7" t="n"/>
      <c r="L138" s="12">
        <f>IF(F138="","",INT(F138/0.5))</f>
        <v/>
      </c>
      <c r="M138" s="7" t="n"/>
    </row>
    <row r="139">
      <c r="A139" s="7" t="n"/>
      <c r="B139" s="7" t="n"/>
      <c r="C139" s="12">
        <f>IFERROR(INDEX(Produkte!$B$2:$B$301,MATCH(B139,Produkte!$A$2:$A$301,0)),"")</f>
        <v/>
      </c>
      <c r="D139" s="7" t="n"/>
      <c r="E139" s="7" t="n"/>
      <c r="F139" s="7" t="n"/>
      <c r="G139" s="7" t="n"/>
      <c r="H139" s="18" t="n"/>
      <c r="I139" s="7" t="n"/>
      <c r="J139" s="7" t="n"/>
      <c r="K139" s="7" t="n"/>
      <c r="L139" s="12">
        <f>IF(F139="","",INT(F139/0.5))</f>
        <v/>
      </c>
      <c r="M139" s="7" t="n"/>
    </row>
    <row r="140">
      <c r="A140" s="7" t="n"/>
      <c r="B140" s="7" t="n"/>
      <c r="C140" s="12">
        <f>IFERROR(INDEX(Produkte!$B$2:$B$301,MATCH(B140,Produkte!$A$2:$A$301,0)),"")</f>
        <v/>
      </c>
      <c r="D140" s="7" t="n"/>
      <c r="E140" s="7" t="n"/>
      <c r="F140" s="7" t="n"/>
      <c r="G140" s="7" t="n"/>
      <c r="H140" s="18" t="n"/>
      <c r="I140" s="7" t="n"/>
      <c r="J140" s="7" t="n"/>
      <c r="K140" s="7" t="n"/>
      <c r="L140" s="12">
        <f>IF(F140="","",INT(F140/0.5))</f>
        <v/>
      </c>
      <c r="M140" s="7" t="n"/>
    </row>
    <row r="141">
      <c r="A141" s="7" t="n"/>
      <c r="B141" s="7" t="n"/>
      <c r="C141" s="12">
        <f>IFERROR(INDEX(Produkte!$B$2:$B$301,MATCH(B141,Produkte!$A$2:$A$301,0)),"")</f>
        <v/>
      </c>
      <c r="D141" s="7" t="n"/>
      <c r="E141" s="7" t="n"/>
      <c r="F141" s="7" t="n"/>
      <c r="G141" s="7" t="n"/>
      <c r="H141" s="18" t="n"/>
      <c r="I141" s="7" t="n"/>
      <c r="J141" s="7" t="n"/>
      <c r="K141" s="7" t="n"/>
      <c r="L141" s="12">
        <f>IF(F141="","",INT(F141/0.5))</f>
        <v/>
      </c>
      <c r="M141" s="7" t="n"/>
    </row>
    <row r="142">
      <c r="A142" s="7" t="n"/>
      <c r="B142" s="7" t="n"/>
      <c r="C142" s="12">
        <f>IFERROR(INDEX(Produkte!$B$2:$B$301,MATCH(B142,Produkte!$A$2:$A$301,0)),"")</f>
        <v/>
      </c>
      <c r="D142" s="7" t="n"/>
      <c r="E142" s="7" t="n"/>
      <c r="F142" s="7" t="n"/>
      <c r="G142" s="7" t="n"/>
      <c r="H142" s="18" t="n"/>
      <c r="I142" s="7" t="n"/>
      <c r="J142" s="7" t="n"/>
      <c r="K142" s="7" t="n"/>
      <c r="L142" s="12">
        <f>IF(F142="","",INT(F142/0.5))</f>
        <v/>
      </c>
      <c r="M142" s="7" t="n"/>
    </row>
    <row r="143">
      <c r="A143" s="7" t="n"/>
      <c r="B143" s="7" t="n"/>
      <c r="C143" s="12">
        <f>IFERROR(INDEX(Produkte!$B$2:$B$301,MATCH(B143,Produkte!$A$2:$A$301,0)),"")</f>
        <v/>
      </c>
      <c r="D143" s="7" t="n"/>
      <c r="E143" s="7" t="n"/>
      <c r="F143" s="7" t="n"/>
      <c r="G143" s="7" t="n"/>
      <c r="H143" s="18" t="n"/>
      <c r="I143" s="7" t="n"/>
      <c r="J143" s="7" t="n"/>
      <c r="K143" s="7" t="n"/>
      <c r="L143" s="12">
        <f>IF(F143="","",INT(F143/0.5))</f>
        <v/>
      </c>
      <c r="M143" s="7" t="n"/>
    </row>
    <row r="144">
      <c r="A144" s="7" t="n"/>
      <c r="B144" s="7" t="n"/>
      <c r="C144" s="12">
        <f>IFERROR(INDEX(Produkte!$B$2:$B$301,MATCH(B144,Produkte!$A$2:$A$301,0)),"")</f>
        <v/>
      </c>
      <c r="D144" s="7" t="n"/>
      <c r="E144" s="7" t="n"/>
      <c r="F144" s="7" t="n"/>
      <c r="G144" s="7" t="n"/>
      <c r="H144" s="18" t="n"/>
      <c r="I144" s="7" t="n"/>
      <c r="J144" s="7" t="n"/>
      <c r="K144" s="7" t="n"/>
      <c r="L144" s="12">
        <f>IF(F144="","",INT(F144/0.5))</f>
        <v/>
      </c>
      <c r="M144" s="7" t="n"/>
    </row>
    <row r="145">
      <c r="A145" s="7" t="n"/>
      <c r="B145" s="7" t="n"/>
      <c r="C145" s="12">
        <f>IFERROR(INDEX(Produkte!$B$2:$B$301,MATCH(B145,Produkte!$A$2:$A$301,0)),"")</f>
        <v/>
      </c>
      <c r="D145" s="7" t="n"/>
      <c r="E145" s="7" t="n"/>
      <c r="F145" s="7" t="n"/>
      <c r="G145" s="7" t="n"/>
      <c r="H145" s="18" t="n"/>
      <c r="I145" s="7" t="n"/>
      <c r="J145" s="7" t="n"/>
      <c r="K145" s="7" t="n"/>
      <c r="L145" s="12">
        <f>IF(F145="","",INT(F145/0.5))</f>
        <v/>
      </c>
      <c r="M145" s="7" t="n"/>
    </row>
    <row r="146">
      <c r="A146" s="7" t="n"/>
      <c r="B146" s="7" t="n"/>
      <c r="C146" s="12">
        <f>IFERROR(INDEX(Produkte!$B$2:$B$301,MATCH(B146,Produkte!$A$2:$A$301,0)),"")</f>
        <v/>
      </c>
      <c r="D146" s="7" t="n"/>
      <c r="E146" s="7" t="n"/>
      <c r="F146" s="7" t="n"/>
      <c r="G146" s="7" t="n"/>
      <c r="H146" s="18" t="n"/>
      <c r="I146" s="7" t="n"/>
      <c r="J146" s="7" t="n"/>
      <c r="K146" s="7" t="n"/>
      <c r="L146" s="12">
        <f>IF(F146="","",INT(F146/0.5))</f>
        <v/>
      </c>
      <c r="M146" s="7" t="n"/>
    </row>
    <row r="147">
      <c r="A147" s="7" t="n"/>
      <c r="B147" s="7" t="n"/>
      <c r="C147" s="12">
        <f>IFERROR(INDEX(Produkte!$B$2:$B$301,MATCH(B147,Produkte!$A$2:$A$301,0)),"")</f>
        <v/>
      </c>
      <c r="D147" s="7" t="n"/>
      <c r="E147" s="7" t="n"/>
      <c r="F147" s="7" t="n"/>
      <c r="G147" s="7" t="n"/>
      <c r="H147" s="18" t="n"/>
      <c r="I147" s="7" t="n"/>
      <c r="J147" s="7" t="n"/>
      <c r="K147" s="7" t="n"/>
      <c r="L147" s="12">
        <f>IF(F147="","",INT(F147/0.5))</f>
        <v/>
      </c>
      <c r="M147" s="7" t="n"/>
    </row>
    <row r="148">
      <c r="A148" s="7" t="n"/>
      <c r="B148" s="7" t="n"/>
      <c r="C148" s="12">
        <f>IFERROR(INDEX(Produkte!$B$2:$B$301,MATCH(B148,Produkte!$A$2:$A$301,0)),"")</f>
        <v/>
      </c>
      <c r="D148" s="7" t="n"/>
      <c r="E148" s="7" t="n"/>
      <c r="F148" s="7" t="n"/>
      <c r="G148" s="7" t="n"/>
      <c r="H148" s="18" t="n"/>
      <c r="I148" s="7" t="n"/>
      <c r="J148" s="7" t="n"/>
      <c r="K148" s="7" t="n"/>
      <c r="L148" s="12">
        <f>IF(F148="","",INT(F148/0.5))</f>
        <v/>
      </c>
      <c r="M148" s="7" t="n"/>
    </row>
    <row r="149">
      <c r="A149" s="7" t="n"/>
      <c r="B149" s="7" t="n"/>
      <c r="C149" s="12">
        <f>IFERROR(INDEX(Produkte!$B$2:$B$301,MATCH(B149,Produkte!$A$2:$A$301,0)),"")</f>
        <v/>
      </c>
      <c r="D149" s="7" t="n"/>
      <c r="E149" s="7" t="n"/>
      <c r="F149" s="7" t="n"/>
      <c r="G149" s="7" t="n"/>
      <c r="H149" s="18" t="n"/>
      <c r="I149" s="7" t="n"/>
      <c r="J149" s="7" t="n"/>
      <c r="K149" s="7" t="n"/>
      <c r="L149" s="12">
        <f>IF(F149="","",INT(F149/0.5))</f>
        <v/>
      </c>
      <c r="M149" s="7" t="n"/>
    </row>
    <row r="150">
      <c r="A150" s="7" t="n"/>
      <c r="B150" s="7" t="n"/>
      <c r="C150" s="12">
        <f>IFERROR(INDEX(Produkte!$B$2:$B$301,MATCH(B150,Produkte!$A$2:$A$301,0)),"")</f>
        <v/>
      </c>
      <c r="D150" s="7" t="n"/>
      <c r="E150" s="7" t="n"/>
      <c r="F150" s="7" t="n"/>
      <c r="G150" s="7" t="n"/>
      <c r="H150" s="18" t="n"/>
      <c r="I150" s="7" t="n"/>
      <c r="J150" s="7" t="n"/>
      <c r="K150" s="7" t="n"/>
      <c r="L150" s="12">
        <f>IF(F150="","",INT(F150/0.5))</f>
        <v/>
      </c>
      <c r="M150" s="7" t="n"/>
    </row>
    <row r="151">
      <c r="A151" s="7" t="n"/>
      <c r="B151" s="7" t="n"/>
      <c r="C151" s="12">
        <f>IFERROR(INDEX(Produkte!$B$2:$B$301,MATCH(B151,Produkte!$A$2:$A$301,0)),"")</f>
        <v/>
      </c>
      <c r="D151" s="7" t="n"/>
      <c r="E151" s="7" t="n"/>
      <c r="F151" s="7" t="n"/>
      <c r="G151" s="7" t="n"/>
      <c r="H151" s="18" t="n"/>
      <c r="I151" s="7" t="n"/>
      <c r="J151" s="7" t="n"/>
      <c r="K151" s="7" t="n"/>
      <c r="L151" s="12">
        <f>IF(F151="","",INT(F151/0.5))</f>
        <v/>
      </c>
      <c r="M151" s="7" t="n"/>
    </row>
    <row r="152">
      <c r="A152" s="7" t="n"/>
      <c r="B152" s="7" t="n"/>
      <c r="C152" s="12">
        <f>IFERROR(INDEX(Produkte!$B$2:$B$301,MATCH(B152,Produkte!$A$2:$A$301,0)),"")</f>
        <v/>
      </c>
      <c r="D152" s="7" t="n"/>
      <c r="E152" s="7" t="n"/>
      <c r="F152" s="7" t="n"/>
      <c r="G152" s="7" t="n"/>
      <c r="H152" s="18" t="n"/>
      <c r="I152" s="7" t="n"/>
      <c r="J152" s="7" t="n"/>
      <c r="K152" s="7" t="n"/>
      <c r="L152" s="12">
        <f>IF(F152="","",INT(F152/0.5))</f>
        <v/>
      </c>
      <c r="M152" s="7" t="n"/>
    </row>
    <row r="153">
      <c r="A153" s="7" t="n"/>
      <c r="B153" s="7" t="n"/>
      <c r="C153" s="12">
        <f>IFERROR(INDEX(Produkte!$B$2:$B$301,MATCH(B153,Produkte!$A$2:$A$301,0)),"")</f>
        <v/>
      </c>
      <c r="D153" s="7" t="n"/>
      <c r="E153" s="7" t="n"/>
      <c r="F153" s="7" t="n"/>
      <c r="G153" s="7" t="n"/>
      <c r="H153" s="18" t="n"/>
      <c r="I153" s="7" t="n"/>
      <c r="J153" s="7" t="n"/>
      <c r="K153" s="7" t="n"/>
      <c r="L153" s="12">
        <f>IF(F153="","",INT(F153/0.5))</f>
        <v/>
      </c>
      <c r="M153" s="7" t="n"/>
    </row>
    <row r="154">
      <c r="A154" s="7" t="n"/>
      <c r="B154" s="7" t="n"/>
      <c r="C154" s="12">
        <f>IFERROR(INDEX(Produkte!$B$2:$B$301,MATCH(B154,Produkte!$A$2:$A$301,0)),"")</f>
        <v/>
      </c>
      <c r="D154" s="7" t="n"/>
      <c r="E154" s="7" t="n"/>
      <c r="F154" s="7" t="n"/>
      <c r="G154" s="7" t="n"/>
      <c r="H154" s="18" t="n"/>
      <c r="I154" s="7" t="n"/>
      <c r="J154" s="7" t="n"/>
      <c r="K154" s="7" t="n"/>
      <c r="L154" s="12">
        <f>IF(F154="","",INT(F154/0.5))</f>
        <v/>
      </c>
      <c r="M154" s="7" t="n"/>
    </row>
    <row r="155">
      <c r="A155" s="7" t="n"/>
      <c r="B155" s="7" t="n"/>
      <c r="C155" s="12">
        <f>IFERROR(INDEX(Produkte!$B$2:$B$301,MATCH(B155,Produkte!$A$2:$A$301,0)),"")</f>
        <v/>
      </c>
      <c r="D155" s="7" t="n"/>
      <c r="E155" s="7" t="n"/>
      <c r="F155" s="7" t="n"/>
      <c r="G155" s="7" t="n"/>
      <c r="H155" s="18" t="n"/>
      <c r="I155" s="7" t="n"/>
      <c r="J155" s="7" t="n"/>
      <c r="K155" s="7" t="n"/>
      <c r="L155" s="12">
        <f>IF(F155="","",INT(F155/0.5))</f>
        <v/>
      </c>
      <c r="M155" s="7" t="n"/>
    </row>
    <row r="156">
      <c r="A156" s="7" t="n"/>
      <c r="B156" s="7" t="n"/>
      <c r="C156" s="12">
        <f>IFERROR(INDEX(Produkte!$B$2:$B$301,MATCH(B156,Produkte!$A$2:$A$301,0)),"")</f>
        <v/>
      </c>
      <c r="D156" s="7" t="n"/>
      <c r="E156" s="7" t="n"/>
      <c r="F156" s="7" t="n"/>
      <c r="G156" s="7" t="n"/>
      <c r="H156" s="18" t="n"/>
      <c r="I156" s="7" t="n"/>
      <c r="J156" s="7" t="n"/>
      <c r="K156" s="7" t="n"/>
      <c r="L156" s="12">
        <f>IF(F156="","",INT(F156/0.5))</f>
        <v/>
      </c>
      <c r="M156" s="7" t="n"/>
    </row>
    <row r="157">
      <c r="A157" s="7" t="n"/>
      <c r="B157" s="7" t="n"/>
      <c r="C157" s="12">
        <f>IFERROR(INDEX(Produkte!$B$2:$B$301,MATCH(B157,Produkte!$A$2:$A$301,0)),"")</f>
        <v/>
      </c>
      <c r="D157" s="7" t="n"/>
      <c r="E157" s="7" t="n"/>
      <c r="F157" s="7" t="n"/>
      <c r="G157" s="7" t="n"/>
      <c r="H157" s="18" t="n"/>
      <c r="I157" s="7" t="n"/>
      <c r="J157" s="7" t="n"/>
      <c r="K157" s="7" t="n"/>
      <c r="L157" s="12">
        <f>IF(F157="","",INT(F157/0.5))</f>
        <v/>
      </c>
      <c r="M157" s="7" t="n"/>
    </row>
    <row r="158">
      <c r="A158" s="7" t="n"/>
      <c r="B158" s="7" t="n"/>
      <c r="C158" s="12">
        <f>IFERROR(INDEX(Produkte!$B$2:$B$301,MATCH(B158,Produkte!$A$2:$A$301,0)),"")</f>
        <v/>
      </c>
      <c r="D158" s="7" t="n"/>
      <c r="E158" s="7" t="n"/>
      <c r="F158" s="7" t="n"/>
      <c r="G158" s="7" t="n"/>
      <c r="H158" s="18" t="n"/>
      <c r="I158" s="7" t="n"/>
      <c r="J158" s="7" t="n"/>
      <c r="K158" s="7" t="n"/>
      <c r="L158" s="12">
        <f>IF(F158="","",INT(F158/0.5))</f>
        <v/>
      </c>
      <c r="M158" s="7" t="n"/>
    </row>
    <row r="159">
      <c r="A159" s="7" t="n"/>
      <c r="B159" s="7" t="n"/>
      <c r="C159" s="12">
        <f>IFERROR(INDEX(Produkte!$B$2:$B$301,MATCH(B159,Produkte!$A$2:$A$301,0)),"")</f>
        <v/>
      </c>
      <c r="D159" s="7" t="n"/>
      <c r="E159" s="7" t="n"/>
      <c r="F159" s="7" t="n"/>
      <c r="G159" s="7" t="n"/>
      <c r="H159" s="18" t="n"/>
      <c r="I159" s="7" t="n"/>
      <c r="J159" s="7" t="n"/>
      <c r="K159" s="7" t="n"/>
      <c r="L159" s="12">
        <f>IF(F159="","",INT(F159/0.5))</f>
        <v/>
      </c>
      <c r="M159" s="7" t="n"/>
    </row>
    <row r="160">
      <c r="A160" s="7" t="n"/>
      <c r="B160" s="7" t="n"/>
      <c r="C160" s="12">
        <f>IFERROR(INDEX(Produkte!$B$2:$B$301,MATCH(B160,Produkte!$A$2:$A$301,0)),"")</f>
        <v/>
      </c>
      <c r="D160" s="7" t="n"/>
      <c r="E160" s="7" t="n"/>
      <c r="F160" s="7" t="n"/>
      <c r="G160" s="7" t="n"/>
      <c r="H160" s="18" t="n"/>
      <c r="I160" s="7" t="n"/>
      <c r="J160" s="7" t="n"/>
      <c r="K160" s="7" t="n"/>
      <c r="L160" s="12">
        <f>IF(F160="","",INT(F160/0.5))</f>
        <v/>
      </c>
      <c r="M160" s="7" t="n"/>
    </row>
    <row r="161">
      <c r="A161" s="7" t="n"/>
      <c r="B161" s="7" t="n"/>
      <c r="C161" s="12">
        <f>IFERROR(INDEX(Produkte!$B$2:$B$301,MATCH(B161,Produkte!$A$2:$A$301,0)),"")</f>
        <v/>
      </c>
      <c r="D161" s="7" t="n"/>
      <c r="E161" s="7" t="n"/>
      <c r="F161" s="7" t="n"/>
      <c r="G161" s="7" t="n"/>
      <c r="H161" s="18" t="n"/>
      <c r="I161" s="7" t="n"/>
      <c r="J161" s="7" t="n"/>
      <c r="K161" s="7" t="n"/>
      <c r="L161" s="12">
        <f>IF(F161="","",INT(F161/0.5))</f>
        <v/>
      </c>
      <c r="M161" s="7" t="n"/>
    </row>
    <row r="162">
      <c r="A162" s="7" t="n"/>
      <c r="B162" s="7" t="n"/>
      <c r="C162" s="12">
        <f>IFERROR(INDEX(Produkte!$B$2:$B$301,MATCH(B162,Produkte!$A$2:$A$301,0)),"")</f>
        <v/>
      </c>
      <c r="D162" s="7" t="n"/>
      <c r="E162" s="7" t="n"/>
      <c r="F162" s="7" t="n"/>
      <c r="G162" s="7" t="n"/>
      <c r="H162" s="18" t="n"/>
      <c r="I162" s="7" t="n"/>
      <c r="J162" s="7" t="n"/>
      <c r="K162" s="7" t="n"/>
      <c r="L162" s="12">
        <f>IF(F162="","",INT(F162/0.5))</f>
        <v/>
      </c>
      <c r="M162" s="7" t="n"/>
    </row>
    <row r="163">
      <c r="A163" s="7" t="n"/>
      <c r="B163" s="7" t="n"/>
      <c r="C163" s="12">
        <f>IFERROR(INDEX(Produkte!$B$2:$B$301,MATCH(B163,Produkte!$A$2:$A$301,0)),"")</f>
        <v/>
      </c>
      <c r="D163" s="7" t="n"/>
      <c r="E163" s="7" t="n"/>
      <c r="F163" s="7" t="n"/>
      <c r="G163" s="7" t="n"/>
      <c r="H163" s="18" t="n"/>
      <c r="I163" s="7" t="n"/>
      <c r="J163" s="7" t="n"/>
      <c r="K163" s="7" t="n"/>
      <c r="L163" s="12">
        <f>IF(F163="","",INT(F163/0.5))</f>
        <v/>
      </c>
      <c r="M163" s="7" t="n"/>
    </row>
    <row r="164">
      <c r="A164" s="7" t="n"/>
      <c r="B164" s="7" t="n"/>
      <c r="C164" s="12">
        <f>IFERROR(INDEX(Produkte!$B$2:$B$301,MATCH(B164,Produkte!$A$2:$A$301,0)),"")</f>
        <v/>
      </c>
      <c r="D164" s="7" t="n"/>
      <c r="E164" s="7" t="n"/>
      <c r="F164" s="7" t="n"/>
      <c r="G164" s="7" t="n"/>
      <c r="H164" s="18" t="n"/>
      <c r="I164" s="7" t="n"/>
      <c r="J164" s="7" t="n"/>
      <c r="K164" s="7" t="n"/>
      <c r="L164" s="12">
        <f>IF(F164="","",INT(F164/0.5))</f>
        <v/>
      </c>
      <c r="M164" s="7" t="n"/>
    </row>
    <row r="165">
      <c r="A165" s="7" t="n"/>
      <c r="B165" s="7" t="n"/>
      <c r="C165" s="12">
        <f>IFERROR(INDEX(Produkte!$B$2:$B$301,MATCH(B165,Produkte!$A$2:$A$301,0)),"")</f>
        <v/>
      </c>
      <c r="D165" s="7" t="n"/>
      <c r="E165" s="7" t="n"/>
      <c r="F165" s="7" t="n"/>
      <c r="G165" s="7" t="n"/>
      <c r="H165" s="18" t="n"/>
      <c r="I165" s="7" t="n"/>
      <c r="J165" s="7" t="n"/>
      <c r="K165" s="7" t="n"/>
      <c r="L165" s="12">
        <f>IF(F165="","",INT(F165/0.5))</f>
        <v/>
      </c>
      <c r="M165" s="7" t="n"/>
    </row>
    <row r="166">
      <c r="A166" s="7" t="n"/>
      <c r="B166" s="7" t="n"/>
      <c r="C166" s="12">
        <f>IFERROR(INDEX(Produkte!$B$2:$B$301,MATCH(B166,Produkte!$A$2:$A$301,0)),"")</f>
        <v/>
      </c>
      <c r="D166" s="7" t="n"/>
      <c r="E166" s="7" t="n"/>
      <c r="F166" s="7" t="n"/>
      <c r="G166" s="7" t="n"/>
      <c r="H166" s="18" t="n"/>
      <c r="I166" s="7" t="n"/>
      <c r="J166" s="7" t="n"/>
      <c r="K166" s="7" t="n"/>
      <c r="L166" s="12">
        <f>IF(F166="","",INT(F166/0.5))</f>
        <v/>
      </c>
      <c r="M166" s="7" t="n"/>
    </row>
    <row r="167">
      <c r="A167" s="7" t="n"/>
      <c r="B167" s="7" t="n"/>
      <c r="C167" s="12">
        <f>IFERROR(INDEX(Produkte!$B$2:$B$301,MATCH(B167,Produkte!$A$2:$A$301,0)),"")</f>
        <v/>
      </c>
      <c r="D167" s="7" t="n"/>
      <c r="E167" s="7" t="n"/>
      <c r="F167" s="7" t="n"/>
      <c r="G167" s="7" t="n"/>
      <c r="H167" s="18" t="n"/>
      <c r="I167" s="7" t="n"/>
      <c r="J167" s="7" t="n"/>
      <c r="K167" s="7" t="n"/>
      <c r="L167" s="12">
        <f>IF(F167="","",INT(F167/0.5))</f>
        <v/>
      </c>
      <c r="M167" s="7" t="n"/>
    </row>
    <row r="168">
      <c r="A168" s="7" t="n"/>
      <c r="B168" s="7" t="n"/>
      <c r="C168" s="12">
        <f>IFERROR(INDEX(Produkte!$B$2:$B$301,MATCH(B168,Produkte!$A$2:$A$301,0)),"")</f>
        <v/>
      </c>
      <c r="D168" s="7" t="n"/>
      <c r="E168" s="7" t="n"/>
      <c r="F168" s="7" t="n"/>
      <c r="G168" s="7" t="n"/>
      <c r="H168" s="18" t="n"/>
      <c r="I168" s="7" t="n"/>
      <c r="J168" s="7" t="n"/>
      <c r="K168" s="7" t="n"/>
      <c r="L168" s="12">
        <f>IF(F168="","",INT(F168/0.5))</f>
        <v/>
      </c>
      <c r="M168" s="7" t="n"/>
    </row>
    <row r="169">
      <c r="A169" s="7" t="n"/>
      <c r="B169" s="7" t="n"/>
      <c r="C169" s="12">
        <f>IFERROR(INDEX(Produkte!$B$2:$B$301,MATCH(B169,Produkte!$A$2:$A$301,0)),"")</f>
        <v/>
      </c>
      <c r="D169" s="7" t="n"/>
      <c r="E169" s="7" t="n"/>
      <c r="F169" s="7" t="n"/>
      <c r="G169" s="7" t="n"/>
      <c r="H169" s="18" t="n"/>
      <c r="I169" s="7" t="n"/>
      <c r="J169" s="7" t="n"/>
      <c r="K169" s="7" t="n"/>
      <c r="L169" s="12">
        <f>IF(F169="","",INT(F169/0.5))</f>
        <v/>
      </c>
      <c r="M169" s="7" t="n"/>
    </row>
    <row r="170">
      <c r="A170" s="7" t="n"/>
      <c r="B170" s="7" t="n"/>
      <c r="C170" s="12">
        <f>IFERROR(INDEX(Produkte!$B$2:$B$301,MATCH(B170,Produkte!$A$2:$A$301,0)),"")</f>
        <v/>
      </c>
      <c r="D170" s="7" t="n"/>
      <c r="E170" s="7" t="n"/>
      <c r="F170" s="7" t="n"/>
      <c r="G170" s="7" t="n"/>
      <c r="H170" s="18" t="n"/>
      <c r="I170" s="7" t="n"/>
      <c r="J170" s="7" t="n"/>
      <c r="K170" s="7" t="n"/>
      <c r="L170" s="12">
        <f>IF(F170="","",INT(F170/0.5))</f>
        <v/>
      </c>
      <c r="M170" s="7" t="n"/>
    </row>
    <row r="171">
      <c r="A171" s="7" t="n"/>
      <c r="B171" s="7" t="n"/>
      <c r="C171" s="12">
        <f>IFERROR(INDEX(Produkte!$B$2:$B$301,MATCH(B171,Produkte!$A$2:$A$301,0)),"")</f>
        <v/>
      </c>
      <c r="D171" s="7" t="n"/>
      <c r="E171" s="7" t="n"/>
      <c r="F171" s="7" t="n"/>
      <c r="G171" s="7" t="n"/>
      <c r="H171" s="18" t="n"/>
      <c r="I171" s="7" t="n"/>
      <c r="J171" s="7" t="n"/>
      <c r="K171" s="7" t="n"/>
      <c r="L171" s="12">
        <f>IF(F171="","",INT(F171/0.5))</f>
        <v/>
      </c>
      <c r="M171" s="7" t="n"/>
    </row>
    <row r="172">
      <c r="A172" s="7" t="n"/>
      <c r="B172" s="7" t="n"/>
      <c r="C172" s="12">
        <f>IFERROR(INDEX(Produkte!$B$2:$B$301,MATCH(B172,Produkte!$A$2:$A$301,0)),"")</f>
        <v/>
      </c>
      <c r="D172" s="7" t="n"/>
      <c r="E172" s="7" t="n"/>
      <c r="F172" s="7" t="n"/>
      <c r="G172" s="7" t="n"/>
      <c r="H172" s="18" t="n"/>
      <c r="I172" s="7" t="n"/>
      <c r="J172" s="7" t="n"/>
      <c r="K172" s="7" t="n"/>
      <c r="L172" s="12">
        <f>IF(F172="","",INT(F172/0.5))</f>
        <v/>
      </c>
      <c r="M172" s="7" t="n"/>
    </row>
    <row r="173">
      <c r="A173" s="7" t="n"/>
      <c r="B173" s="7" t="n"/>
      <c r="C173" s="12">
        <f>IFERROR(INDEX(Produkte!$B$2:$B$301,MATCH(B173,Produkte!$A$2:$A$301,0)),"")</f>
        <v/>
      </c>
      <c r="D173" s="7" t="n"/>
      <c r="E173" s="7" t="n"/>
      <c r="F173" s="7" t="n"/>
      <c r="G173" s="7" t="n"/>
      <c r="H173" s="18" t="n"/>
      <c r="I173" s="7" t="n"/>
      <c r="J173" s="7" t="n"/>
      <c r="K173" s="7" t="n"/>
      <c r="L173" s="12">
        <f>IF(F173="","",INT(F173/0.5))</f>
        <v/>
      </c>
      <c r="M173" s="7" t="n"/>
    </row>
    <row r="174">
      <c r="A174" s="7" t="n"/>
      <c r="B174" s="7" t="n"/>
      <c r="C174" s="12">
        <f>IFERROR(INDEX(Produkte!$B$2:$B$301,MATCH(B174,Produkte!$A$2:$A$301,0)),"")</f>
        <v/>
      </c>
      <c r="D174" s="7" t="n"/>
      <c r="E174" s="7" t="n"/>
      <c r="F174" s="7" t="n"/>
      <c r="G174" s="7" t="n"/>
      <c r="H174" s="18" t="n"/>
      <c r="I174" s="7" t="n"/>
      <c r="J174" s="7" t="n"/>
      <c r="K174" s="7" t="n"/>
      <c r="L174" s="12">
        <f>IF(F174="","",INT(F174/0.5))</f>
        <v/>
      </c>
      <c r="M174" s="7" t="n"/>
    </row>
    <row r="175">
      <c r="A175" s="7" t="n"/>
      <c r="B175" s="7" t="n"/>
      <c r="C175" s="12">
        <f>IFERROR(INDEX(Produkte!$B$2:$B$301,MATCH(B175,Produkte!$A$2:$A$301,0)),"")</f>
        <v/>
      </c>
      <c r="D175" s="7" t="n"/>
      <c r="E175" s="7" t="n"/>
      <c r="F175" s="7" t="n"/>
      <c r="G175" s="7" t="n"/>
      <c r="H175" s="18" t="n"/>
      <c r="I175" s="7" t="n"/>
      <c r="J175" s="7" t="n"/>
      <c r="K175" s="7" t="n"/>
      <c r="L175" s="12">
        <f>IF(F175="","",INT(F175/0.5))</f>
        <v/>
      </c>
      <c r="M175" s="7" t="n"/>
    </row>
    <row r="176">
      <c r="A176" s="7" t="n"/>
      <c r="B176" s="7" t="n"/>
      <c r="C176" s="12">
        <f>IFERROR(INDEX(Produkte!$B$2:$B$301,MATCH(B176,Produkte!$A$2:$A$301,0)),"")</f>
        <v/>
      </c>
      <c r="D176" s="7" t="n"/>
      <c r="E176" s="7" t="n"/>
      <c r="F176" s="7" t="n"/>
      <c r="G176" s="7" t="n"/>
      <c r="H176" s="18" t="n"/>
      <c r="I176" s="7" t="n"/>
      <c r="J176" s="7" t="n"/>
      <c r="K176" s="7" t="n"/>
      <c r="L176" s="12">
        <f>IF(F176="","",INT(F176/0.5))</f>
        <v/>
      </c>
      <c r="M176" s="7" t="n"/>
    </row>
    <row r="177">
      <c r="A177" s="7" t="n"/>
      <c r="B177" s="7" t="n"/>
      <c r="C177" s="12">
        <f>IFERROR(INDEX(Produkte!$B$2:$B$301,MATCH(B177,Produkte!$A$2:$A$301,0)),"")</f>
        <v/>
      </c>
      <c r="D177" s="7" t="n"/>
      <c r="E177" s="7" t="n"/>
      <c r="F177" s="7" t="n"/>
      <c r="G177" s="7" t="n"/>
      <c r="H177" s="18" t="n"/>
      <c r="I177" s="7" t="n"/>
      <c r="J177" s="7" t="n"/>
      <c r="K177" s="7" t="n"/>
      <c r="L177" s="12">
        <f>IF(F177="","",INT(F177/0.5))</f>
        <v/>
      </c>
      <c r="M177" s="7" t="n"/>
    </row>
    <row r="178">
      <c r="A178" s="7" t="n"/>
      <c r="B178" s="7" t="n"/>
      <c r="C178" s="12">
        <f>IFERROR(INDEX(Produkte!$B$2:$B$301,MATCH(B178,Produkte!$A$2:$A$301,0)),"")</f>
        <v/>
      </c>
      <c r="D178" s="7" t="n"/>
      <c r="E178" s="7" t="n"/>
      <c r="F178" s="7" t="n"/>
      <c r="G178" s="7" t="n"/>
      <c r="H178" s="18" t="n"/>
      <c r="I178" s="7" t="n"/>
      <c r="J178" s="7" t="n"/>
      <c r="K178" s="7" t="n"/>
      <c r="L178" s="12">
        <f>IF(F178="","",INT(F178/0.5))</f>
        <v/>
      </c>
      <c r="M178" s="7" t="n"/>
    </row>
    <row r="179">
      <c r="A179" s="7" t="n"/>
      <c r="B179" s="7" t="n"/>
      <c r="C179" s="12">
        <f>IFERROR(INDEX(Produkte!$B$2:$B$301,MATCH(B179,Produkte!$A$2:$A$301,0)),"")</f>
        <v/>
      </c>
      <c r="D179" s="7" t="n"/>
      <c r="E179" s="7" t="n"/>
      <c r="F179" s="7" t="n"/>
      <c r="G179" s="7" t="n"/>
      <c r="H179" s="18" t="n"/>
      <c r="I179" s="7" t="n"/>
      <c r="J179" s="7" t="n"/>
      <c r="K179" s="7" t="n"/>
      <c r="L179" s="12">
        <f>IF(F179="","",INT(F179/0.5))</f>
        <v/>
      </c>
      <c r="M179" s="7" t="n"/>
    </row>
    <row r="180">
      <c r="A180" s="7" t="n"/>
      <c r="B180" s="7" t="n"/>
      <c r="C180" s="12">
        <f>IFERROR(INDEX(Produkte!$B$2:$B$301,MATCH(B180,Produkte!$A$2:$A$301,0)),"")</f>
        <v/>
      </c>
      <c r="D180" s="7" t="n"/>
      <c r="E180" s="7" t="n"/>
      <c r="F180" s="7" t="n"/>
      <c r="G180" s="7" t="n"/>
      <c r="H180" s="18" t="n"/>
      <c r="I180" s="7" t="n"/>
      <c r="J180" s="7" t="n"/>
      <c r="K180" s="7" t="n"/>
      <c r="L180" s="12">
        <f>IF(F180="","",INT(F180/0.5))</f>
        <v/>
      </c>
      <c r="M180" s="7" t="n"/>
    </row>
    <row r="181">
      <c r="A181" s="7" t="n"/>
      <c r="B181" s="7" t="n"/>
      <c r="C181" s="12">
        <f>IFERROR(INDEX(Produkte!$B$2:$B$301,MATCH(B181,Produkte!$A$2:$A$301,0)),"")</f>
        <v/>
      </c>
      <c r="D181" s="7" t="n"/>
      <c r="E181" s="7" t="n"/>
      <c r="F181" s="7" t="n"/>
      <c r="G181" s="7" t="n"/>
      <c r="H181" s="18" t="n"/>
      <c r="I181" s="7" t="n"/>
      <c r="J181" s="7" t="n"/>
      <c r="K181" s="7" t="n"/>
      <c r="L181" s="12">
        <f>IF(F181="","",INT(F181/0.5))</f>
        <v/>
      </c>
      <c r="M181" s="7" t="n"/>
    </row>
    <row r="182">
      <c r="A182" s="7" t="n"/>
      <c r="B182" s="7" t="n"/>
      <c r="C182" s="12">
        <f>IFERROR(INDEX(Produkte!$B$2:$B$301,MATCH(B182,Produkte!$A$2:$A$301,0)),"")</f>
        <v/>
      </c>
      <c r="D182" s="7" t="n"/>
      <c r="E182" s="7" t="n"/>
      <c r="F182" s="7" t="n"/>
      <c r="G182" s="7" t="n"/>
      <c r="H182" s="18" t="n"/>
      <c r="I182" s="7" t="n"/>
      <c r="J182" s="7" t="n"/>
      <c r="K182" s="7" t="n"/>
      <c r="L182" s="12">
        <f>IF(F182="","",INT(F182/0.5))</f>
        <v/>
      </c>
      <c r="M182" s="7" t="n"/>
    </row>
    <row r="183">
      <c r="A183" s="7" t="n"/>
      <c r="B183" s="7" t="n"/>
      <c r="C183" s="12">
        <f>IFERROR(INDEX(Produkte!$B$2:$B$301,MATCH(B183,Produkte!$A$2:$A$301,0)),"")</f>
        <v/>
      </c>
      <c r="D183" s="7" t="n"/>
      <c r="E183" s="7" t="n"/>
      <c r="F183" s="7" t="n"/>
      <c r="G183" s="7" t="n"/>
      <c r="H183" s="18" t="n"/>
      <c r="I183" s="7" t="n"/>
      <c r="J183" s="7" t="n"/>
      <c r="K183" s="7" t="n"/>
      <c r="L183" s="12">
        <f>IF(F183="","",INT(F183/0.5))</f>
        <v/>
      </c>
      <c r="M183" s="7" t="n"/>
    </row>
    <row r="184">
      <c r="A184" s="7" t="n"/>
      <c r="B184" s="7" t="n"/>
      <c r="C184" s="12">
        <f>IFERROR(INDEX(Produkte!$B$2:$B$301,MATCH(B184,Produkte!$A$2:$A$301,0)),"")</f>
        <v/>
      </c>
      <c r="D184" s="7" t="n"/>
      <c r="E184" s="7" t="n"/>
      <c r="F184" s="7" t="n"/>
      <c r="G184" s="7" t="n"/>
      <c r="H184" s="18" t="n"/>
      <c r="I184" s="7" t="n"/>
      <c r="J184" s="7" t="n"/>
      <c r="K184" s="7" t="n"/>
      <c r="L184" s="12">
        <f>IF(F184="","",INT(F184/0.5))</f>
        <v/>
      </c>
      <c r="M184" s="7" t="n"/>
    </row>
    <row r="185">
      <c r="A185" s="7" t="n"/>
      <c r="B185" s="7" t="n"/>
      <c r="C185" s="12">
        <f>IFERROR(INDEX(Produkte!$B$2:$B$301,MATCH(B185,Produkte!$A$2:$A$301,0)),"")</f>
        <v/>
      </c>
      <c r="D185" s="7" t="n"/>
      <c r="E185" s="7" t="n"/>
      <c r="F185" s="7" t="n"/>
      <c r="G185" s="7" t="n"/>
      <c r="H185" s="18" t="n"/>
      <c r="I185" s="7" t="n"/>
      <c r="J185" s="7" t="n"/>
      <c r="K185" s="7" t="n"/>
      <c r="L185" s="12">
        <f>IF(F185="","",INT(F185/0.5))</f>
        <v/>
      </c>
      <c r="M185" s="7" t="n"/>
    </row>
    <row r="186">
      <c r="A186" s="7" t="n"/>
      <c r="B186" s="7" t="n"/>
      <c r="C186" s="12">
        <f>IFERROR(INDEX(Produkte!$B$2:$B$301,MATCH(B186,Produkte!$A$2:$A$301,0)),"")</f>
        <v/>
      </c>
      <c r="D186" s="7" t="n"/>
      <c r="E186" s="7" t="n"/>
      <c r="F186" s="7" t="n"/>
      <c r="G186" s="7" t="n"/>
      <c r="H186" s="18" t="n"/>
      <c r="I186" s="7" t="n"/>
      <c r="J186" s="7" t="n"/>
      <c r="K186" s="7" t="n"/>
      <c r="L186" s="12">
        <f>IF(F186="","",INT(F186/0.5))</f>
        <v/>
      </c>
      <c r="M186" s="7" t="n"/>
    </row>
    <row r="187">
      <c r="A187" s="7" t="n"/>
      <c r="B187" s="7" t="n"/>
      <c r="C187" s="12">
        <f>IFERROR(INDEX(Produkte!$B$2:$B$301,MATCH(B187,Produkte!$A$2:$A$301,0)),"")</f>
        <v/>
      </c>
      <c r="D187" s="7" t="n"/>
      <c r="E187" s="7" t="n"/>
      <c r="F187" s="7" t="n"/>
      <c r="G187" s="7" t="n"/>
      <c r="H187" s="18" t="n"/>
      <c r="I187" s="7" t="n"/>
      <c r="J187" s="7" t="n"/>
      <c r="K187" s="7" t="n"/>
      <c r="L187" s="12">
        <f>IF(F187="","",INT(F187/0.5))</f>
        <v/>
      </c>
      <c r="M187" s="7" t="n"/>
    </row>
    <row r="188">
      <c r="A188" s="7" t="n"/>
      <c r="B188" s="7" t="n"/>
      <c r="C188" s="12">
        <f>IFERROR(INDEX(Produkte!$B$2:$B$301,MATCH(B188,Produkte!$A$2:$A$301,0)),"")</f>
        <v/>
      </c>
      <c r="D188" s="7" t="n"/>
      <c r="E188" s="7" t="n"/>
      <c r="F188" s="7" t="n"/>
      <c r="G188" s="7" t="n"/>
      <c r="H188" s="18" t="n"/>
      <c r="I188" s="7" t="n"/>
      <c r="J188" s="7" t="n"/>
      <c r="K188" s="7" t="n"/>
      <c r="L188" s="12">
        <f>IF(F188="","",INT(F188/0.5))</f>
        <v/>
      </c>
      <c r="M188" s="7" t="n"/>
    </row>
    <row r="189">
      <c r="A189" s="7" t="n"/>
      <c r="B189" s="7" t="n"/>
      <c r="C189" s="12">
        <f>IFERROR(INDEX(Produkte!$B$2:$B$301,MATCH(B189,Produkte!$A$2:$A$301,0)),"")</f>
        <v/>
      </c>
      <c r="D189" s="7" t="n"/>
      <c r="E189" s="7" t="n"/>
      <c r="F189" s="7" t="n"/>
      <c r="G189" s="7" t="n"/>
      <c r="H189" s="18" t="n"/>
      <c r="I189" s="7" t="n"/>
      <c r="J189" s="7" t="n"/>
      <c r="K189" s="7" t="n"/>
      <c r="L189" s="12">
        <f>IF(F189="","",INT(F189/0.5))</f>
        <v/>
      </c>
      <c r="M189" s="7" t="n"/>
    </row>
    <row r="190">
      <c r="A190" s="7" t="n"/>
      <c r="B190" s="7" t="n"/>
      <c r="C190" s="12">
        <f>IFERROR(INDEX(Produkte!$B$2:$B$301,MATCH(B190,Produkte!$A$2:$A$301,0)),"")</f>
        <v/>
      </c>
      <c r="D190" s="7" t="n"/>
      <c r="E190" s="7" t="n"/>
      <c r="F190" s="7" t="n"/>
      <c r="G190" s="7" t="n"/>
      <c r="H190" s="18" t="n"/>
      <c r="I190" s="7" t="n"/>
      <c r="J190" s="7" t="n"/>
      <c r="K190" s="7" t="n"/>
      <c r="L190" s="12">
        <f>IF(F190="","",INT(F190/0.5))</f>
        <v/>
      </c>
      <c r="M190" s="7" t="n"/>
    </row>
    <row r="191">
      <c r="A191" s="7" t="n"/>
      <c r="B191" s="7" t="n"/>
      <c r="C191" s="12">
        <f>IFERROR(INDEX(Produkte!$B$2:$B$301,MATCH(B191,Produkte!$A$2:$A$301,0)),"")</f>
        <v/>
      </c>
      <c r="D191" s="7" t="n"/>
      <c r="E191" s="7" t="n"/>
      <c r="F191" s="7" t="n"/>
      <c r="G191" s="7" t="n"/>
      <c r="H191" s="18" t="n"/>
      <c r="I191" s="7" t="n"/>
      <c r="J191" s="7" t="n"/>
      <c r="K191" s="7" t="n"/>
      <c r="L191" s="12">
        <f>IF(F191="","",INT(F191/0.5))</f>
        <v/>
      </c>
      <c r="M191" s="7" t="n"/>
    </row>
    <row r="192">
      <c r="A192" s="7" t="n"/>
      <c r="B192" s="7" t="n"/>
      <c r="C192" s="12">
        <f>IFERROR(INDEX(Produkte!$B$2:$B$301,MATCH(B192,Produkte!$A$2:$A$301,0)),"")</f>
        <v/>
      </c>
      <c r="D192" s="7" t="n"/>
      <c r="E192" s="7" t="n"/>
      <c r="F192" s="7" t="n"/>
      <c r="G192" s="7" t="n"/>
      <c r="H192" s="18" t="n"/>
      <c r="I192" s="7" t="n"/>
      <c r="J192" s="7" t="n"/>
      <c r="K192" s="7" t="n"/>
      <c r="L192" s="12">
        <f>IF(F192="","",INT(F192/0.5))</f>
        <v/>
      </c>
      <c r="M192" s="7" t="n"/>
    </row>
    <row r="193">
      <c r="A193" s="7" t="n"/>
      <c r="B193" s="7" t="n"/>
      <c r="C193" s="12">
        <f>IFERROR(INDEX(Produkte!$B$2:$B$301,MATCH(B193,Produkte!$A$2:$A$301,0)),"")</f>
        <v/>
      </c>
      <c r="D193" s="7" t="n"/>
      <c r="E193" s="7" t="n"/>
      <c r="F193" s="7" t="n"/>
      <c r="G193" s="7" t="n"/>
      <c r="H193" s="18" t="n"/>
      <c r="I193" s="7" t="n"/>
      <c r="J193" s="7" t="n"/>
      <c r="K193" s="7" t="n"/>
      <c r="L193" s="12">
        <f>IF(F193="","",INT(F193/0.5))</f>
        <v/>
      </c>
      <c r="M193" s="7" t="n"/>
    </row>
    <row r="194">
      <c r="A194" s="7" t="n"/>
      <c r="B194" s="7" t="n"/>
      <c r="C194" s="12">
        <f>IFERROR(INDEX(Produkte!$B$2:$B$301,MATCH(B194,Produkte!$A$2:$A$301,0)),"")</f>
        <v/>
      </c>
      <c r="D194" s="7" t="n"/>
      <c r="E194" s="7" t="n"/>
      <c r="F194" s="7" t="n"/>
      <c r="G194" s="7" t="n"/>
      <c r="H194" s="18" t="n"/>
      <c r="I194" s="7" t="n"/>
      <c r="J194" s="7" t="n"/>
      <c r="K194" s="7" t="n"/>
      <c r="L194" s="12">
        <f>IF(F194="","",INT(F194/0.5))</f>
        <v/>
      </c>
      <c r="M194" s="7" t="n"/>
    </row>
    <row r="195">
      <c r="A195" s="7" t="n"/>
      <c r="B195" s="7" t="n"/>
      <c r="C195" s="12">
        <f>IFERROR(INDEX(Produkte!$B$2:$B$301,MATCH(B195,Produkte!$A$2:$A$301,0)),"")</f>
        <v/>
      </c>
      <c r="D195" s="7" t="n"/>
      <c r="E195" s="7" t="n"/>
      <c r="F195" s="7" t="n"/>
      <c r="G195" s="7" t="n"/>
      <c r="H195" s="18" t="n"/>
      <c r="I195" s="7" t="n"/>
      <c r="J195" s="7" t="n"/>
      <c r="K195" s="7" t="n"/>
      <c r="L195" s="12">
        <f>IF(F195="","",INT(F195/0.5))</f>
        <v/>
      </c>
      <c r="M195" s="7" t="n"/>
    </row>
    <row r="196">
      <c r="A196" s="7" t="n"/>
      <c r="B196" s="7" t="n"/>
      <c r="C196" s="12">
        <f>IFERROR(INDEX(Produkte!$B$2:$B$301,MATCH(B196,Produkte!$A$2:$A$301,0)),"")</f>
        <v/>
      </c>
      <c r="D196" s="7" t="n"/>
      <c r="E196" s="7" t="n"/>
      <c r="F196" s="7" t="n"/>
      <c r="G196" s="7" t="n"/>
      <c r="H196" s="18" t="n"/>
      <c r="I196" s="7" t="n"/>
      <c r="J196" s="7" t="n"/>
      <c r="K196" s="7" t="n"/>
      <c r="L196" s="12">
        <f>IF(F196="","",INT(F196/0.5))</f>
        <v/>
      </c>
      <c r="M196" s="7" t="n"/>
    </row>
    <row r="197">
      <c r="A197" s="7" t="n"/>
      <c r="B197" s="7" t="n"/>
      <c r="C197" s="12">
        <f>IFERROR(INDEX(Produkte!$B$2:$B$301,MATCH(B197,Produkte!$A$2:$A$301,0)),"")</f>
        <v/>
      </c>
      <c r="D197" s="7" t="n"/>
      <c r="E197" s="7" t="n"/>
      <c r="F197" s="7" t="n"/>
      <c r="G197" s="7" t="n"/>
      <c r="H197" s="18" t="n"/>
      <c r="I197" s="7" t="n"/>
      <c r="J197" s="7" t="n"/>
      <c r="K197" s="7" t="n"/>
      <c r="L197" s="12">
        <f>IF(F197="","",INT(F197/0.5))</f>
        <v/>
      </c>
      <c r="M197" s="7" t="n"/>
    </row>
    <row r="198">
      <c r="A198" s="7" t="n"/>
      <c r="B198" s="7" t="n"/>
      <c r="C198" s="12">
        <f>IFERROR(INDEX(Produkte!$B$2:$B$301,MATCH(B198,Produkte!$A$2:$A$301,0)),"")</f>
        <v/>
      </c>
      <c r="D198" s="7" t="n"/>
      <c r="E198" s="7" t="n"/>
      <c r="F198" s="7" t="n"/>
      <c r="G198" s="7" t="n"/>
      <c r="H198" s="18" t="n"/>
      <c r="I198" s="7" t="n"/>
      <c r="J198" s="7" t="n"/>
      <c r="K198" s="7" t="n"/>
      <c r="L198" s="12">
        <f>IF(F198="","",INT(F198/0.5))</f>
        <v/>
      </c>
      <c r="M198" s="7" t="n"/>
    </row>
    <row r="199">
      <c r="A199" s="7" t="n"/>
      <c r="B199" s="7" t="n"/>
      <c r="C199" s="12">
        <f>IFERROR(INDEX(Produkte!$B$2:$B$301,MATCH(B199,Produkte!$A$2:$A$301,0)),"")</f>
        <v/>
      </c>
      <c r="D199" s="7" t="n"/>
      <c r="E199" s="7" t="n"/>
      <c r="F199" s="7" t="n"/>
      <c r="G199" s="7" t="n"/>
      <c r="H199" s="18" t="n"/>
      <c r="I199" s="7" t="n"/>
      <c r="J199" s="7" t="n"/>
      <c r="K199" s="7" t="n"/>
      <c r="L199" s="12">
        <f>IF(F199="","",INT(F199/0.5))</f>
        <v/>
      </c>
      <c r="M199" s="7" t="n"/>
    </row>
    <row r="200">
      <c r="A200" s="7" t="n"/>
      <c r="B200" s="7" t="n"/>
      <c r="C200" s="12">
        <f>IFERROR(INDEX(Produkte!$B$2:$B$301,MATCH(B200,Produkte!$A$2:$A$301,0)),"")</f>
        <v/>
      </c>
      <c r="D200" s="7" t="n"/>
      <c r="E200" s="7" t="n"/>
      <c r="F200" s="7" t="n"/>
      <c r="G200" s="7" t="n"/>
      <c r="H200" s="18" t="n"/>
      <c r="I200" s="7" t="n"/>
      <c r="J200" s="7" t="n"/>
      <c r="K200" s="7" t="n"/>
      <c r="L200" s="12">
        <f>IF(F200="","",INT(F200/0.5))</f>
        <v/>
      </c>
      <c r="M200" s="7" t="n"/>
    </row>
    <row r="201">
      <c r="A201" s="7" t="n"/>
      <c r="B201" s="7" t="n"/>
      <c r="C201" s="12">
        <f>IFERROR(INDEX(Produkte!$B$2:$B$301,MATCH(B201,Produkte!$A$2:$A$301,0)),"")</f>
        <v/>
      </c>
      <c r="D201" s="7" t="n"/>
      <c r="E201" s="7" t="n"/>
      <c r="F201" s="7" t="n"/>
      <c r="G201" s="7" t="n"/>
      <c r="H201" s="18" t="n"/>
      <c r="I201" s="7" t="n"/>
      <c r="J201" s="7" t="n"/>
      <c r="K201" s="7" t="n"/>
      <c r="L201" s="12">
        <f>IF(F201="","",INT(F201/0.5))</f>
        <v/>
      </c>
      <c r="M201" s="7" t="n"/>
    </row>
    <row r="202">
      <c r="A202" s="7" t="n"/>
      <c r="B202" s="7" t="n"/>
      <c r="C202" s="12">
        <f>IFERROR(INDEX(Produkte!$B$2:$B$301,MATCH(B202,Produkte!$A$2:$A$301,0)),"")</f>
        <v/>
      </c>
      <c r="D202" s="7" t="n"/>
      <c r="E202" s="7" t="n"/>
      <c r="F202" s="7" t="n"/>
      <c r="G202" s="7" t="n"/>
      <c r="H202" s="18" t="n"/>
      <c r="I202" s="7" t="n"/>
      <c r="J202" s="7" t="n"/>
      <c r="K202" s="7" t="n"/>
      <c r="L202" s="12">
        <f>IF(F202="","",INT(F202/0.5))</f>
        <v/>
      </c>
      <c r="M202" s="7" t="n"/>
    </row>
    <row r="203">
      <c r="A203" s="7" t="n"/>
      <c r="B203" s="7" t="n"/>
      <c r="C203" s="12">
        <f>IFERROR(INDEX(Produkte!$B$2:$B$301,MATCH(B203,Produkte!$A$2:$A$301,0)),"")</f>
        <v/>
      </c>
      <c r="D203" s="7" t="n"/>
      <c r="E203" s="7" t="n"/>
      <c r="F203" s="7" t="n"/>
      <c r="G203" s="7" t="n"/>
      <c r="H203" s="18" t="n"/>
      <c r="I203" s="7" t="n"/>
      <c r="J203" s="7" t="n"/>
      <c r="K203" s="7" t="n"/>
      <c r="L203" s="12">
        <f>IF(F203="","",INT(F203/0.5))</f>
        <v/>
      </c>
      <c r="M203" s="7" t="n"/>
    </row>
    <row r="204">
      <c r="A204" s="7" t="n"/>
      <c r="B204" s="7" t="n"/>
      <c r="C204" s="12">
        <f>IFERROR(INDEX(Produkte!$B$2:$B$301,MATCH(B204,Produkte!$A$2:$A$301,0)),"")</f>
        <v/>
      </c>
      <c r="D204" s="7" t="n"/>
      <c r="E204" s="7" t="n"/>
      <c r="F204" s="7" t="n"/>
      <c r="G204" s="7" t="n"/>
      <c r="H204" s="18" t="n"/>
      <c r="I204" s="7" t="n"/>
      <c r="J204" s="7" t="n"/>
      <c r="K204" s="7" t="n"/>
      <c r="L204" s="12">
        <f>IF(F204="","",INT(F204/0.5))</f>
        <v/>
      </c>
      <c r="M204" s="7" t="n"/>
    </row>
    <row r="205">
      <c r="A205" s="7" t="n"/>
      <c r="B205" s="7" t="n"/>
      <c r="C205" s="12">
        <f>IFERROR(INDEX(Produkte!$B$2:$B$301,MATCH(B205,Produkte!$A$2:$A$301,0)),"")</f>
        <v/>
      </c>
      <c r="D205" s="7" t="n"/>
      <c r="E205" s="7" t="n"/>
      <c r="F205" s="7" t="n"/>
      <c r="G205" s="7" t="n"/>
      <c r="H205" s="18" t="n"/>
      <c r="I205" s="7" t="n"/>
      <c r="J205" s="7" t="n"/>
      <c r="K205" s="7" t="n"/>
      <c r="L205" s="12">
        <f>IF(F205="","",INT(F205/0.5))</f>
        <v/>
      </c>
      <c r="M205" s="7" t="n"/>
    </row>
    <row r="206">
      <c r="A206" s="7" t="n"/>
      <c r="B206" s="7" t="n"/>
      <c r="C206" s="12">
        <f>IFERROR(INDEX(Produkte!$B$2:$B$301,MATCH(B206,Produkte!$A$2:$A$301,0)),"")</f>
        <v/>
      </c>
      <c r="D206" s="7" t="n"/>
      <c r="E206" s="7" t="n"/>
      <c r="F206" s="7" t="n"/>
      <c r="G206" s="7" t="n"/>
      <c r="H206" s="18" t="n"/>
      <c r="I206" s="7" t="n"/>
      <c r="J206" s="7" t="n"/>
      <c r="K206" s="7" t="n"/>
      <c r="L206" s="12">
        <f>IF(F206="","",INT(F206/0.5))</f>
        <v/>
      </c>
      <c r="M206" s="7" t="n"/>
    </row>
    <row r="207">
      <c r="A207" s="7" t="n"/>
      <c r="B207" s="7" t="n"/>
      <c r="C207" s="12">
        <f>IFERROR(INDEX(Produkte!$B$2:$B$301,MATCH(B207,Produkte!$A$2:$A$301,0)),"")</f>
        <v/>
      </c>
      <c r="D207" s="7" t="n"/>
      <c r="E207" s="7" t="n"/>
      <c r="F207" s="7" t="n"/>
      <c r="G207" s="7" t="n"/>
      <c r="H207" s="18" t="n"/>
      <c r="I207" s="7" t="n"/>
      <c r="J207" s="7" t="n"/>
      <c r="K207" s="7" t="n"/>
      <c r="L207" s="12">
        <f>IF(F207="","",INT(F207/0.5))</f>
        <v/>
      </c>
      <c r="M207" s="7" t="n"/>
    </row>
    <row r="208">
      <c r="A208" s="7" t="n"/>
      <c r="B208" s="7" t="n"/>
      <c r="C208" s="12">
        <f>IFERROR(INDEX(Produkte!$B$2:$B$301,MATCH(B208,Produkte!$A$2:$A$301,0)),"")</f>
        <v/>
      </c>
      <c r="D208" s="7" t="n"/>
      <c r="E208" s="7" t="n"/>
      <c r="F208" s="7" t="n"/>
      <c r="G208" s="7" t="n"/>
      <c r="H208" s="18" t="n"/>
      <c r="I208" s="7" t="n"/>
      <c r="J208" s="7" t="n"/>
      <c r="K208" s="7" t="n"/>
      <c r="L208" s="12">
        <f>IF(F208="","",INT(F208/0.5))</f>
        <v/>
      </c>
      <c r="M208" s="7" t="n"/>
    </row>
    <row r="209">
      <c r="A209" s="7" t="n"/>
      <c r="B209" s="7" t="n"/>
      <c r="C209" s="12">
        <f>IFERROR(INDEX(Produkte!$B$2:$B$301,MATCH(B209,Produkte!$A$2:$A$301,0)),"")</f>
        <v/>
      </c>
      <c r="D209" s="7" t="n"/>
      <c r="E209" s="7" t="n"/>
      <c r="F209" s="7" t="n"/>
      <c r="G209" s="7" t="n"/>
      <c r="H209" s="18" t="n"/>
      <c r="I209" s="7" t="n"/>
      <c r="J209" s="7" t="n"/>
      <c r="K209" s="7" t="n"/>
      <c r="L209" s="12">
        <f>IF(F209="","",INT(F209/0.5))</f>
        <v/>
      </c>
      <c r="M209" s="7" t="n"/>
    </row>
    <row r="210">
      <c r="A210" s="7" t="n"/>
      <c r="B210" s="7" t="n"/>
      <c r="C210" s="12">
        <f>IFERROR(INDEX(Produkte!$B$2:$B$301,MATCH(B210,Produkte!$A$2:$A$301,0)),"")</f>
        <v/>
      </c>
      <c r="D210" s="7" t="n"/>
      <c r="E210" s="7" t="n"/>
      <c r="F210" s="7" t="n"/>
      <c r="G210" s="7" t="n"/>
      <c r="H210" s="18" t="n"/>
      <c r="I210" s="7" t="n"/>
      <c r="J210" s="7" t="n"/>
      <c r="K210" s="7" t="n"/>
      <c r="L210" s="12">
        <f>IF(F210="","",INT(F210/0.5))</f>
        <v/>
      </c>
      <c r="M210" s="7" t="n"/>
    </row>
    <row r="211">
      <c r="A211" s="7" t="n"/>
      <c r="B211" s="7" t="n"/>
      <c r="C211" s="12">
        <f>IFERROR(INDEX(Produkte!$B$2:$B$301,MATCH(B211,Produkte!$A$2:$A$301,0)),"")</f>
        <v/>
      </c>
      <c r="D211" s="7" t="n"/>
      <c r="E211" s="7" t="n"/>
      <c r="F211" s="7" t="n"/>
      <c r="G211" s="7" t="n"/>
      <c r="H211" s="18" t="n"/>
      <c r="I211" s="7" t="n"/>
      <c r="J211" s="7" t="n"/>
      <c r="K211" s="7" t="n"/>
      <c r="L211" s="12">
        <f>IF(F211="","",INT(F211/0.5))</f>
        <v/>
      </c>
      <c r="M211" s="7" t="n"/>
    </row>
    <row r="212">
      <c r="A212" s="7" t="n"/>
      <c r="B212" s="7" t="n"/>
      <c r="C212" s="12">
        <f>IFERROR(INDEX(Produkte!$B$2:$B$301,MATCH(B212,Produkte!$A$2:$A$301,0)),"")</f>
        <v/>
      </c>
      <c r="D212" s="7" t="n"/>
      <c r="E212" s="7" t="n"/>
      <c r="F212" s="7" t="n"/>
      <c r="G212" s="7" t="n"/>
      <c r="H212" s="18" t="n"/>
      <c r="I212" s="7" t="n"/>
      <c r="J212" s="7" t="n"/>
      <c r="K212" s="7" t="n"/>
      <c r="L212" s="12">
        <f>IF(F212="","",INT(F212/0.5))</f>
        <v/>
      </c>
      <c r="M212" s="7" t="n"/>
    </row>
    <row r="213">
      <c r="A213" s="7" t="n"/>
      <c r="B213" s="7" t="n"/>
      <c r="C213" s="12">
        <f>IFERROR(INDEX(Produkte!$B$2:$B$301,MATCH(B213,Produkte!$A$2:$A$301,0)),"")</f>
        <v/>
      </c>
      <c r="D213" s="7" t="n"/>
      <c r="E213" s="7" t="n"/>
      <c r="F213" s="7" t="n"/>
      <c r="G213" s="7" t="n"/>
      <c r="H213" s="18" t="n"/>
      <c r="I213" s="7" t="n"/>
      <c r="J213" s="7" t="n"/>
      <c r="K213" s="7" t="n"/>
      <c r="L213" s="12">
        <f>IF(F213="","",INT(F213/0.5))</f>
        <v/>
      </c>
      <c r="M213" s="7" t="n"/>
    </row>
    <row r="214">
      <c r="A214" s="7" t="n"/>
      <c r="B214" s="7" t="n"/>
      <c r="C214" s="12">
        <f>IFERROR(INDEX(Produkte!$B$2:$B$301,MATCH(B214,Produkte!$A$2:$A$301,0)),"")</f>
        <v/>
      </c>
      <c r="D214" s="7" t="n"/>
      <c r="E214" s="7" t="n"/>
      <c r="F214" s="7" t="n"/>
      <c r="G214" s="7" t="n"/>
      <c r="H214" s="18" t="n"/>
      <c r="I214" s="7" t="n"/>
      <c r="J214" s="7" t="n"/>
      <c r="K214" s="7" t="n"/>
      <c r="L214" s="12">
        <f>IF(F214="","",INT(F214/0.5))</f>
        <v/>
      </c>
      <c r="M214" s="7" t="n"/>
    </row>
    <row r="215">
      <c r="A215" s="7" t="n"/>
      <c r="B215" s="7" t="n"/>
      <c r="C215" s="12">
        <f>IFERROR(INDEX(Produkte!$B$2:$B$301,MATCH(B215,Produkte!$A$2:$A$301,0)),"")</f>
        <v/>
      </c>
      <c r="D215" s="7" t="n"/>
      <c r="E215" s="7" t="n"/>
      <c r="F215" s="7" t="n"/>
      <c r="G215" s="7" t="n"/>
      <c r="H215" s="18" t="n"/>
      <c r="I215" s="7" t="n"/>
      <c r="J215" s="7" t="n"/>
      <c r="K215" s="7" t="n"/>
      <c r="L215" s="12">
        <f>IF(F215="","",INT(F215/0.5))</f>
        <v/>
      </c>
      <c r="M215" s="7" t="n"/>
    </row>
    <row r="216">
      <c r="A216" s="7" t="n"/>
      <c r="B216" s="7" t="n"/>
      <c r="C216" s="12">
        <f>IFERROR(INDEX(Produkte!$B$2:$B$301,MATCH(B216,Produkte!$A$2:$A$301,0)),"")</f>
        <v/>
      </c>
      <c r="D216" s="7" t="n"/>
      <c r="E216" s="7" t="n"/>
      <c r="F216" s="7" t="n"/>
      <c r="G216" s="7" t="n"/>
      <c r="H216" s="18" t="n"/>
      <c r="I216" s="7" t="n"/>
      <c r="J216" s="7" t="n"/>
      <c r="K216" s="7" t="n"/>
      <c r="L216" s="12">
        <f>IF(F216="","",INT(F216/0.5))</f>
        <v/>
      </c>
      <c r="M216" s="7" t="n"/>
    </row>
    <row r="217">
      <c r="A217" s="7" t="n"/>
      <c r="B217" s="7" t="n"/>
      <c r="C217" s="12">
        <f>IFERROR(INDEX(Produkte!$B$2:$B$301,MATCH(B217,Produkte!$A$2:$A$301,0)),"")</f>
        <v/>
      </c>
      <c r="D217" s="7" t="n"/>
      <c r="E217" s="7" t="n"/>
      <c r="F217" s="7" t="n"/>
      <c r="G217" s="7" t="n"/>
      <c r="H217" s="18" t="n"/>
      <c r="I217" s="7" t="n"/>
      <c r="J217" s="7" t="n"/>
      <c r="K217" s="7" t="n"/>
      <c r="L217" s="12">
        <f>IF(F217="","",INT(F217/0.5))</f>
        <v/>
      </c>
      <c r="M217" s="7" t="n"/>
    </row>
    <row r="218">
      <c r="A218" s="7" t="n"/>
      <c r="B218" s="7" t="n"/>
      <c r="C218" s="12">
        <f>IFERROR(INDEX(Produkte!$B$2:$B$301,MATCH(B218,Produkte!$A$2:$A$301,0)),"")</f>
        <v/>
      </c>
      <c r="D218" s="7" t="n"/>
      <c r="E218" s="7" t="n"/>
      <c r="F218" s="7" t="n"/>
      <c r="G218" s="7" t="n"/>
      <c r="H218" s="18" t="n"/>
      <c r="I218" s="7" t="n"/>
      <c r="J218" s="7" t="n"/>
      <c r="K218" s="7" t="n"/>
      <c r="L218" s="12">
        <f>IF(F218="","",INT(F218/0.5))</f>
        <v/>
      </c>
      <c r="M218" s="7" t="n"/>
    </row>
    <row r="219">
      <c r="A219" s="7" t="n"/>
      <c r="B219" s="7" t="n"/>
      <c r="C219" s="12">
        <f>IFERROR(INDEX(Produkte!$B$2:$B$301,MATCH(B219,Produkte!$A$2:$A$301,0)),"")</f>
        <v/>
      </c>
      <c r="D219" s="7" t="n"/>
      <c r="E219" s="7" t="n"/>
      <c r="F219" s="7" t="n"/>
      <c r="G219" s="7" t="n"/>
      <c r="H219" s="18" t="n"/>
      <c r="I219" s="7" t="n"/>
      <c r="J219" s="7" t="n"/>
      <c r="K219" s="7" t="n"/>
      <c r="L219" s="12">
        <f>IF(F219="","",INT(F219/0.5))</f>
        <v/>
      </c>
      <c r="M219" s="7" t="n"/>
    </row>
    <row r="220">
      <c r="A220" s="7" t="n"/>
      <c r="B220" s="7" t="n"/>
      <c r="C220" s="12">
        <f>IFERROR(INDEX(Produkte!$B$2:$B$301,MATCH(B220,Produkte!$A$2:$A$301,0)),"")</f>
        <v/>
      </c>
      <c r="D220" s="7" t="n"/>
      <c r="E220" s="7" t="n"/>
      <c r="F220" s="7" t="n"/>
      <c r="G220" s="7" t="n"/>
      <c r="H220" s="18" t="n"/>
      <c r="I220" s="7" t="n"/>
      <c r="J220" s="7" t="n"/>
      <c r="K220" s="7" t="n"/>
      <c r="L220" s="12">
        <f>IF(F220="","",INT(F220/0.5))</f>
        <v/>
      </c>
      <c r="M220" s="7" t="n"/>
    </row>
    <row r="221">
      <c r="A221" s="7" t="n"/>
      <c r="B221" s="7" t="n"/>
      <c r="C221" s="12">
        <f>IFERROR(INDEX(Produkte!$B$2:$B$301,MATCH(B221,Produkte!$A$2:$A$301,0)),"")</f>
        <v/>
      </c>
      <c r="D221" s="7" t="n"/>
      <c r="E221" s="7" t="n"/>
      <c r="F221" s="7" t="n"/>
      <c r="G221" s="7" t="n"/>
      <c r="H221" s="18" t="n"/>
      <c r="I221" s="7" t="n"/>
      <c r="J221" s="7" t="n"/>
      <c r="K221" s="7" t="n"/>
      <c r="L221" s="12">
        <f>IF(F221="","",INT(F221/0.5))</f>
        <v/>
      </c>
      <c r="M221" s="7" t="n"/>
    </row>
    <row r="222">
      <c r="A222" s="7" t="n"/>
      <c r="B222" s="7" t="n"/>
      <c r="C222" s="12">
        <f>IFERROR(INDEX(Produkte!$B$2:$B$301,MATCH(B222,Produkte!$A$2:$A$301,0)),"")</f>
        <v/>
      </c>
      <c r="D222" s="7" t="n"/>
      <c r="E222" s="7" t="n"/>
      <c r="F222" s="7" t="n"/>
      <c r="G222" s="7" t="n"/>
      <c r="H222" s="18" t="n"/>
      <c r="I222" s="7" t="n"/>
      <c r="J222" s="7" t="n"/>
      <c r="K222" s="7" t="n"/>
      <c r="L222" s="12">
        <f>IF(F222="","",INT(F222/0.5))</f>
        <v/>
      </c>
      <c r="M222" s="7" t="n"/>
    </row>
    <row r="223">
      <c r="A223" s="7" t="n"/>
      <c r="B223" s="7" t="n"/>
      <c r="C223" s="12">
        <f>IFERROR(INDEX(Produkte!$B$2:$B$301,MATCH(B223,Produkte!$A$2:$A$301,0)),"")</f>
        <v/>
      </c>
      <c r="D223" s="7" t="n"/>
      <c r="E223" s="7" t="n"/>
      <c r="F223" s="7" t="n"/>
      <c r="G223" s="7" t="n"/>
      <c r="H223" s="18" t="n"/>
      <c r="I223" s="7" t="n"/>
      <c r="J223" s="7" t="n"/>
      <c r="K223" s="7" t="n"/>
      <c r="L223" s="12">
        <f>IF(F223="","",INT(F223/0.5))</f>
        <v/>
      </c>
      <c r="M223" s="7" t="n"/>
    </row>
    <row r="224">
      <c r="A224" s="7" t="n"/>
      <c r="B224" s="7" t="n"/>
      <c r="C224" s="12">
        <f>IFERROR(INDEX(Produkte!$B$2:$B$301,MATCH(B224,Produkte!$A$2:$A$301,0)),"")</f>
        <v/>
      </c>
      <c r="D224" s="7" t="n"/>
      <c r="E224" s="7" t="n"/>
      <c r="F224" s="7" t="n"/>
      <c r="G224" s="7" t="n"/>
      <c r="H224" s="18" t="n"/>
      <c r="I224" s="7" t="n"/>
      <c r="J224" s="7" t="n"/>
      <c r="K224" s="7" t="n"/>
      <c r="L224" s="12">
        <f>IF(F224="","",INT(F224/0.5))</f>
        <v/>
      </c>
      <c r="M224" s="7" t="n"/>
    </row>
    <row r="225">
      <c r="A225" s="7" t="n"/>
      <c r="B225" s="7" t="n"/>
      <c r="C225" s="12">
        <f>IFERROR(INDEX(Produkte!$B$2:$B$301,MATCH(B225,Produkte!$A$2:$A$301,0)),"")</f>
        <v/>
      </c>
      <c r="D225" s="7" t="n"/>
      <c r="E225" s="7" t="n"/>
      <c r="F225" s="7" t="n"/>
      <c r="G225" s="7" t="n"/>
      <c r="H225" s="18" t="n"/>
      <c r="I225" s="7" t="n"/>
      <c r="J225" s="7" t="n"/>
      <c r="K225" s="7" t="n"/>
      <c r="L225" s="12">
        <f>IF(F225="","",INT(F225/0.5))</f>
        <v/>
      </c>
      <c r="M225" s="7" t="n"/>
    </row>
    <row r="226">
      <c r="A226" s="7" t="n"/>
      <c r="B226" s="7" t="n"/>
      <c r="C226" s="12">
        <f>IFERROR(INDEX(Produkte!$B$2:$B$301,MATCH(B226,Produkte!$A$2:$A$301,0)),"")</f>
        <v/>
      </c>
      <c r="D226" s="7" t="n"/>
      <c r="E226" s="7" t="n"/>
      <c r="F226" s="7" t="n"/>
      <c r="G226" s="7" t="n"/>
      <c r="H226" s="18" t="n"/>
      <c r="I226" s="7" t="n"/>
      <c r="J226" s="7" t="n"/>
      <c r="K226" s="7" t="n"/>
      <c r="L226" s="12">
        <f>IF(F226="","",INT(F226/0.5))</f>
        <v/>
      </c>
      <c r="M226" s="7" t="n"/>
    </row>
    <row r="227">
      <c r="A227" s="7" t="n"/>
      <c r="B227" s="7" t="n"/>
      <c r="C227" s="12">
        <f>IFERROR(INDEX(Produkte!$B$2:$B$301,MATCH(B227,Produkte!$A$2:$A$301,0)),"")</f>
        <v/>
      </c>
      <c r="D227" s="7" t="n"/>
      <c r="E227" s="7" t="n"/>
      <c r="F227" s="7" t="n"/>
      <c r="G227" s="7" t="n"/>
      <c r="H227" s="18" t="n"/>
      <c r="I227" s="7" t="n"/>
      <c r="J227" s="7" t="n"/>
      <c r="K227" s="7" t="n"/>
      <c r="L227" s="12">
        <f>IF(F227="","",INT(F227/0.5))</f>
        <v/>
      </c>
      <c r="M227" s="7" t="n"/>
    </row>
    <row r="228">
      <c r="A228" s="7" t="n"/>
      <c r="B228" s="7" t="n"/>
      <c r="C228" s="12">
        <f>IFERROR(INDEX(Produkte!$B$2:$B$301,MATCH(B228,Produkte!$A$2:$A$301,0)),"")</f>
        <v/>
      </c>
      <c r="D228" s="7" t="n"/>
      <c r="E228" s="7" t="n"/>
      <c r="F228" s="7" t="n"/>
      <c r="G228" s="7" t="n"/>
      <c r="H228" s="18" t="n"/>
      <c r="I228" s="7" t="n"/>
      <c r="J228" s="7" t="n"/>
      <c r="K228" s="7" t="n"/>
      <c r="L228" s="12">
        <f>IF(F228="","",INT(F228/0.5))</f>
        <v/>
      </c>
      <c r="M228" s="7" t="n"/>
    </row>
    <row r="229">
      <c r="A229" s="7" t="n"/>
      <c r="B229" s="7" t="n"/>
      <c r="C229" s="12">
        <f>IFERROR(INDEX(Produkte!$B$2:$B$301,MATCH(B229,Produkte!$A$2:$A$301,0)),"")</f>
        <v/>
      </c>
      <c r="D229" s="7" t="n"/>
      <c r="E229" s="7" t="n"/>
      <c r="F229" s="7" t="n"/>
      <c r="G229" s="7" t="n"/>
      <c r="H229" s="18" t="n"/>
      <c r="I229" s="7" t="n"/>
      <c r="J229" s="7" t="n"/>
      <c r="K229" s="7" t="n"/>
      <c r="L229" s="12">
        <f>IF(F229="","",INT(F229/0.5))</f>
        <v/>
      </c>
      <c r="M229" s="7" t="n"/>
    </row>
    <row r="230">
      <c r="A230" s="7" t="n"/>
      <c r="B230" s="7" t="n"/>
      <c r="C230" s="12">
        <f>IFERROR(INDEX(Produkte!$B$2:$B$301,MATCH(B230,Produkte!$A$2:$A$301,0)),"")</f>
        <v/>
      </c>
      <c r="D230" s="7" t="n"/>
      <c r="E230" s="7" t="n"/>
      <c r="F230" s="7" t="n"/>
      <c r="G230" s="7" t="n"/>
      <c r="H230" s="18" t="n"/>
      <c r="I230" s="7" t="n"/>
      <c r="J230" s="7" t="n"/>
      <c r="K230" s="7" t="n"/>
      <c r="L230" s="12">
        <f>IF(F230="","",INT(F230/0.5))</f>
        <v/>
      </c>
      <c r="M230" s="7" t="n"/>
    </row>
    <row r="231">
      <c r="A231" s="7" t="n"/>
      <c r="B231" s="7" t="n"/>
      <c r="C231" s="12">
        <f>IFERROR(INDEX(Produkte!$B$2:$B$301,MATCH(B231,Produkte!$A$2:$A$301,0)),"")</f>
        <v/>
      </c>
      <c r="D231" s="7" t="n"/>
      <c r="E231" s="7" t="n"/>
      <c r="F231" s="7" t="n"/>
      <c r="G231" s="7" t="n"/>
      <c r="H231" s="18" t="n"/>
      <c r="I231" s="7" t="n"/>
      <c r="J231" s="7" t="n"/>
      <c r="K231" s="7" t="n"/>
      <c r="L231" s="12">
        <f>IF(F231="","",INT(F231/0.5))</f>
        <v/>
      </c>
      <c r="M231" s="7" t="n"/>
    </row>
    <row r="232">
      <c r="A232" s="7" t="n"/>
      <c r="B232" s="7" t="n"/>
      <c r="C232" s="12">
        <f>IFERROR(INDEX(Produkte!$B$2:$B$301,MATCH(B232,Produkte!$A$2:$A$301,0)),"")</f>
        <v/>
      </c>
      <c r="D232" s="7" t="n"/>
      <c r="E232" s="7" t="n"/>
      <c r="F232" s="7" t="n"/>
      <c r="G232" s="7" t="n"/>
      <c r="H232" s="18" t="n"/>
      <c r="I232" s="7" t="n"/>
      <c r="J232" s="7" t="n"/>
      <c r="K232" s="7" t="n"/>
      <c r="L232" s="12">
        <f>IF(F232="","",INT(F232/0.5))</f>
        <v/>
      </c>
      <c r="M232" s="7" t="n"/>
    </row>
    <row r="233">
      <c r="A233" s="7" t="n"/>
      <c r="B233" s="7" t="n"/>
      <c r="C233" s="12">
        <f>IFERROR(INDEX(Produkte!$B$2:$B$301,MATCH(B233,Produkte!$A$2:$A$301,0)),"")</f>
        <v/>
      </c>
      <c r="D233" s="7" t="n"/>
      <c r="E233" s="7" t="n"/>
      <c r="F233" s="7" t="n"/>
      <c r="G233" s="7" t="n"/>
      <c r="H233" s="18" t="n"/>
      <c r="I233" s="7" t="n"/>
      <c r="J233" s="7" t="n"/>
      <c r="K233" s="7" t="n"/>
      <c r="L233" s="12">
        <f>IF(F233="","",INT(F233/0.5))</f>
        <v/>
      </c>
      <c r="M233" s="7" t="n"/>
    </row>
    <row r="234">
      <c r="A234" s="7" t="n"/>
      <c r="B234" s="7" t="n"/>
      <c r="C234" s="12">
        <f>IFERROR(INDEX(Produkte!$B$2:$B$301,MATCH(B234,Produkte!$A$2:$A$301,0)),"")</f>
        <v/>
      </c>
      <c r="D234" s="7" t="n"/>
      <c r="E234" s="7" t="n"/>
      <c r="F234" s="7" t="n"/>
      <c r="G234" s="7" t="n"/>
      <c r="H234" s="18" t="n"/>
      <c r="I234" s="7" t="n"/>
      <c r="J234" s="7" t="n"/>
      <c r="K234" s="7" t="n"/>
      <c r="L234" s="12">
        <f>IF(F234="","",INT(F234/0.5))</f>
        <v/>
      </c>
      <c r="M234" s="7" t="n"/>
    </row>
    <row r="235">
      <c r="A235" s="7" t="n"/>
      <c r="B235" s="7" t="n"/>
      <c r="C235" s="12">
        <f>IFERROR(INDEX(Produkte!$B$2:$B$301,MATCH(B235,Produkte!$A$2:$A$301,0)),"")</f>
        <v/>
      </c>
      <c r="D235" s="7" t="n"/>
      <c r="E235" s="7" t="n"/>
      <c r="F235" s="7" t="n"/>
      <c r="G235" s="7" t="n"/>
      <c r="H235" s="18" t="n"/>
      <c r="I235" s="7" t="n"/>
      <c r="J235" s="7" t="n"/>
      <c r="K235" s="7" t="n"/>
      <c r="L235" s="12">
        <f>IF(F235="","",INT(F235/0.5))</f>
        <v/>
      </c>
      <c r="M235" s="7" t="n"/>
    </row>
    <row r="236">
      <c r="A236" s="7" t="n"/>
      <c r="B236" s="7" t="n"/>
      <c r="C236" s="12">
        <f>IFERROR(INDEX(Produkte!$B$2:$B$301,MATCH(B236,Produkte!$A$2:$A$301,0)),"")</f>
        <v/>
      </c>
      <c r="D236" s="7" t="n"/>
      <c r="E236" s="7" t="n"/>
      <c r="F236" s="7" t="n"/>
      <c r="G236" s="7" t="n"/>
      <c r="H236" s="18" t="n"/>
      <c r="I236" s="7" t="n"/>
      <c r="J236" s="7" t="n"/>
      <c r="K236" s="7" t="n"/>
      <c r="L236" s="12">
        <f>IF(F236="","",INT(F236/0.5))</f>
        <v/>
      </c>
      <c r="M236" s="7" t="n"/>
    </row>
    <row r="237">
      <c r="A237" s="7" t="n"/>
      <c r="B237" s="7" t="n"/>
      <c r="C237" s="12">
        <f>IFERROR(INDEX(Produkte!$B$2:$B$301,MATCH(B237,Produkte!$A$2:$A$301,0)),"")</f>
        <v/>
      </c>
      <c r="D237" s="7" t="n"/>
      <c r="E237" s="7" t="n"/>
      <c r="F237" s="7" t="n"/>
      <c r="G237" s="7" t="n"/>
      <c r="H237" s="18" t="n"/>
      <c r="I237" s="7" t="n"/>
      <c r="J237" s="7" t="n"/>
      <c r="K237" s="7" t="n"/>
      <c r="L237" s="12">
        <f>IF(F237="","",INT(F237/0.5))</f>
        <v/>
      </c>
      <c r="M237" s="7" t="n"/>
    </row>
    <row r="238">
      <c r="A238" s="7" t="n"/>
      <c r="B238" s="7" t="n"/>
      <c r="C238" s="12">
        <f>IFERROR(INDEX(Produkte!$B$2:$B$301,MATCH(B238,Produkte!$A$2:$A$301,0)),"")</f>
        <v/>
      </c>
      <c r="D238" s="7" t="n"/>
      <c r="E238" s="7" t="n"/>
      <c r="F238" s="7" t="n"/>
      <c r="G238" s="7" t="n"/>
      <c r="H238" s="18" t="n"/>
      <c r="I238" s="7" t="n"/>
      <c r="J238" s="7" t="n"/>
      <c r="K238" s="7" t="n"/>
      <c r="L238" s="12">
        <f>IF(F238="","",INT(F238/0.5))</f>
        <v/>
      </c>
      <c r="M238" s="7" t="n"/>
    </row>
    <row r="239">
      <c r="A239" s="7" t="n"/>
      <c r="B239" s="7" t="n"/>
      <c r="C239" s="12">
        <f>IFERROR(INDEX(Produkte!$B$2:$B$301,MATCH(B239,Produkte!$A$2:$A$301,0)),"")</f>
        <v/>
      </c>
      <c r="D239" s="7" t="n"/>
      <c r="E239" s="7" t="n"/>
      <c r="F239" s="7" t="n"/>
      <c r="G239" s="7" t="n"/>
      <c r="H239" s="18" t="n"/>
      <c r="I239" s="7" t="n"/>
      <c r="J239" s="7" t="n"/>
      <c r="K239" s="7" t="n"/>
      <c r="L239" s="12">
        <f>IF(F239="","",INT(F239/0.5))</f>
        <v/>
      </c>
      <c r="M239" s="7" t="n"/>
    </row>
    <row r="240">
      <c r="A240" s="7" t="n"/>
      <c r="B240" s="7" t="n"/>
      <c r="C240" s="12">
        <f>IFERROR(INDEX(Produkte!$B$2:$B$301,MATCH(B240,Produkte!$A$2:$A$301,0)),"")</f>
        <v/>
      </c>
      <c r="D240" s="7" t="n"/>
      <c r="E240" s="7" t="n"/>
      <c r="F240" s="7" t="n"/>
      <c r="G240" s="7" t="n"/>
      <c r="H240" s="18" t="n"/>
      <c r="I240" s="7" t="n"/>
      <c r="J240" s="7" t="n"/>
      <c r="K240" s="7" t="n"/>
      <c r="L240" s="12">
        <f>IF(F240="","",INT(F240/0.5))</f>
        <v/>
      </c>
      <c r="M240" s="7" t="n"/>
    </row>
    <row r="241">
      <c r="A241" s="7" t="n"/>
      <c r="B241" s="7" t="n"/>
      <c r="C241" s="12">
        <f>IFERROR(INDEX(Produkte!$B$2:$B$301,MATCH(B241,Produkte!$A$2:$A$301,0)),"")</f>
        <v/>
      </c>
      <c r="D241" s="7" t="n"/>
      <c r="E241" s="7" t="n"/>
      <c r="F241" s="7" t="n"/>
      <c r="G241" s="7" t="n"/>
      <c r="H241" s="18" t="n"/>
      <c r="I241" s="7" t="n"/>
      <c r="J241" s="7" t="n"/>
      <c r="K241" s="7" t="n"/>
      <c r="L241" s="12">
        <f>IF(F241="","",INT(F241/0.5))</f>
        <v/>
      </c>
      <c r="M241" s="7" t="n"/>
    </row>
    <row r="242">
      <c r="A242" s="7" t="n"/>
      <c r="B242" s="7" t="n"/>
      <c r="C242" s="12">
        <f>IFERROR(INDEX(Produkte!$B$2:$B$301,MATCH(B242,Produkte!$A$2:$A$301,0)),"")</f>
        <v/>
      </c>
      <c r="D242" s="7" t="n"/>
      <c r="E242" s="7" t="n"/>
      <c r="F242" s="7" t="n"/>
      <c r="G242" s="7" t="n"/>
      <c r="H242" s="18" t="n"/>
      <c r="I242" s="7" t="n"/>
      <c r="J242" s="7" t="n"/>
      <c r="K242" s="7" t="n"/>
      <c r="L242" s="12">
        <f>IF(F242="","",INT(F242/0.5))</f>
        <v/>
      </c>
      <c r="M242" s="7" t="n"/>
    </row>
    <row r="243">
      <c r="A243" s="7" t="n"/>
      <c r="B243" s="7" t="n"/>
      <c r="C243" s="12">
        <f>IFERROR(INDEX(Produkte!$B$2:$B$301,MATCH(B243,Produkte!$A$2:$A$301,0)),"")</f>
        <v/>
      </c>
      <c r="D243" s="7" t="n"/>
      <c r="E243" s="7" t="n"/>
      <c r="F243" s="7" t="n"/>
      <c r="G243" s="7" t="n"/>
      <c r="H243" s="18" t="n"/>
      <c r="I243" s="7" t="n"/>
      <c r="J243" s="7" t="n"/>
      <c r="K243" s="7" t="n"/>
      <c r="L243" s="12">
        <f>IF(F243="","",INT(F243/0.5))</f>
        <v/>
      </c>
      <c r="M243" s="7" t="n"/>
    </row>
    <row r="244">
      <c r="A244" s="7" t="n"/>
      <c r="B244" s="7" t="n"/>
      <c r="C244" s="12">
        <f>IFERROR(INDEX(Produkte!$B$2:$B$301,MATCH(B244,Produkte!$A$2:$A$301,0)),"")</f>
        <v/>
      </c>
      <c r="D244" s="7" t="n"/>
      <c r="E244" s="7" t="n"/>
      <c r="F244" s="7" t="n"/>
      <c r="G244" s="7" t="n"/>
      <c r="H244" s="18" t="n"/>
      <c r="I244" s="7" t="n"/>
      <c r="J244" s="7" t="n"/>
      <c r="K244" s="7" t="n"/>
      <c r="L244" s="12">
        <f>IF(F244="","",INT(F244/0.5))</f>
        <v/>
      </c>
      <c r="M244" s="7" t="n"/>
    </row>
    <row r="245">
      <c r="A245" s="7" t="n"/>
      <c r="B245" s="7" t="n"/>
      <c r="C245" s="12">
        <f>IFERROR(INDEX(Produkte!$B$2:$B$301,MATCH(B245,Produkte!$A$2:$A$301,0)),"")</f>
        <v/>
      </c>
      <c r="D245" s="7" t="n"/>
      <c r="E245" s="7" t="n"/>
      <c r="F245" s="7" t="n"/>
      <c r="G245" s="7" t="n"/>
      <c r="H245" s="18" t="n"/>
      <c r="I245" s="7" t="n"/>
      <c r="J245" s="7" t="n"/>
      <c r="K245" s="7" t="n"/>
      <c r="L245" s="12">
        <f>IF(F245="","",INT(F245/0.5))</f>
        <v/>
      </c>
      <c r="M245" s="7" t="n"/>
    </row>
    <row r="246">
      <c r="A246" s="7" t="n"/>
      <c r="B246" s="7" t="n"/>
      <c r="C246" s="12">
        <f>IFERROR(INDEX(Produkte!$B$2:$B$301,MATCH(B246,Produkte!$A$2:$A$301,0)),"")</f>
        <v/>
      </c>
      <c r="D246" s="7" t="n"/>
      <c r="E246" s="7" t="n"/>
      <c r="F246" s="7" t="n"/>
      <c r="G246" s="7" t="n"/>
      <c r="H246" s="18" t="n"/>
      <c r="I246" s="7" t="n"/>
      <c r="J246" s="7" t="n"/>
      <c r="K246" s="7" t="n"/>
      <c r="L246" s="12">
        <f>IF(F246="","",INT(F246/0.5))</f>
        <v/>
      </c>
      <c r="M246" s="7" t="n"/>
    </row>
    <row r="247">
      <c r="A247" s="7" t="n"/>
      <c r="B247" s="7" t="n"/>
      <c r="C247" s="12">
        <f>IFERROR(INDEX(Produkte!$B$2:$B$301,MATCH(B247,Produkte!$A$2:$A$301,0)),"")</f>
        <v/>
      </c>
      <c r="D247" s="7" t="n"/>
      <c r="E247" s="7" t="n"/>
      <c r="F247" s="7" t="n"/>
      <c r="G247" s="7" t="n"/>
      <c r="H247" s="18" t="n"/>
      <c r="I247" s="7" t="n"/>
      <c r="J247" s="7" t="n"/>
      <c r="K247" s="7" t="n"/>
      <c r="L247" s="12">
        <f>IF(F247="","",INT(F247/0.5))</f>
        <v/>
      </c>
      <c r="M247" s="7" t="n"/>
    </row>
    <row r="248">
      <c r="A248" s="7" t="n"/>
      <c r="B248" s="7" t="n"/>
      <c r="C248" s="12">
        <f>IFERROR(INDEX(Produkte!$B$2:$B$301,MATCH(B248,Produkte!$A$2:$A$301,0)),"")</f>
        <v/>
      </c>
      <c r="D248" s="7" t="n"/>
      <c r="E248" s="7" t="n"/>
      <c r="F248" s="7" t="n"/>
      <c r="G248" s="7" t="n"/>
      <c r="H248" s="18" t="n"/>
      <c r="I248" s="7" t="n"/>
      <c r="J248" s="7" t="n"/>
      <c r="K248" s="7" t="n"/>
      <c r="L248" s="12">
        <f>IF(F248="","",INT(F248/0.5))</f>
        <v/>
      </c>
      <c r="M248" s="7" t="n"/>
    </row>
    <row r="249">
      <c r="A249" s="7" t="n"/>
      <c r="B249" s="7" t="n"/>
      <c r="C249" s="12">
        <f>IFERROR(INDEX(Produkte!$B$2:$B$301,MATCH(B249,Produkte!$A$2:$A$301,0)),"")</f>
        <v/>
      </c>
      <c r="D249" s="7" t="n"/>
      <c r="E249" s="7" t="n"/>
      <c r="F249" s="7" t="n"/>
      <c r="G249" s="7" t="n"/>
      <c r="H249" s="18" t="n"/>
      <c r="I249" s="7" t="n"/>
      <c r="J249" s="7" t="n"/>
      <c r="K249" s="7" t="n"/>
      <c r="L249" s="12">
        <f>IF(F249="","",INT(F249/0.5))</f>
        <v/>
      </c>
      <c r="M249" s="7" t="n"/>
    </row>
    <row r="250">
      <c r="A250" s="7" t="n"/>
      <c r="B250" s="7" t="n"/>
      <c r="C250" s="12">
        <f>IFERROR(INDEX(Produkte!$B$2:$B$301,MATCH(B250,Produkte!$A$2:$A$301,0)),"")</f>
        <v/>
      </c>
      <c r="D250" s="7" t="n"/>
      <c r="E250" s="7" t="n"/>
      <c r="F250" s="7" t="n"/>
      <c r="G250" s="7" t="n"/>
      <c r="H250" s="18" t="n"/>
      <c r="I250" s="7" t="n"/>
      <c r="J250" s="7" t="n"/>
      <c r="K250" s="7" t="n"/>
      <c r="L250" s="12">
        <f>IF(F250="","",INT(F250/0.5))</f>
        <v/>
      </c>
      <c r="M250" s="7" t="n"/>
    </row>
    <row r="251">
      <c r="A251" s="7" t="n"/>
      <c r="B251" s="7" t="n"/>
      <c r="C251" s="12">
        <f>IFERROR(INDEX(Produkte!$B$2:$B$301,MATCH(B251,Produkte!$A$2:$A$301,0)),"")</f>
        <v/>
      </c>
      <c r="D251" s="7" t="n"/>
      <c r="E251" s="7" t="n"/>
      <c r="F251" s="7" t="n"/>
      <c r="G251" s="7" t="n"/>
      <c r="H251" s="18" t="n"/>
      <c r="I251" s="7" t="n"/>
      <c r="J251" s="7" t="n"/>
      <c r="K251" s="7" t="n"/>
      <c r="L251" s="12">
        <f>IF(F251="","",INT(F251/0.5))</f>
        <v/>
      </c>
      <c r="M251" s="7" t="n"/>
    </row>
    <row r="252">
      <c r="A252" s="7" t="n"/>
      <c r="B252" s="7" t="n"/>
      <c r="C252" s="12">
        <f>IFERROR(INDEX(Produkte!$B$2:$B$301,MATCH(B252,Produkte!$A$2:$A$301,0)),"")</f>
        <v/>
      </c>
      <c r="D252" s="7" t="n"/>
      <c r="E252" s="7" t="n"/>
      <c r="F252" s="7" t="n"/>
      <c r="G252" s="7" t="n"/>
      <c r="H252" s="18" t="n"/>
      <c r="I252" s="7" t="n"/>
      <c r="J252" s="7" t="n"/>
      <c r="K252" s="7" t="n"/>
      <c r="L252" s="12">
        <f>IF(F252="","",INT(F252/0.5))</f>
        <v/>
      </c>
      <c r="M252" s="7" t="n"/>
    </row>
    <row r="253">
      <c r="A253" s="7" t="n"/>
      <c r="B253" s="7" t="n"/>
      <c r="C253" s="12">
        <f>IFERROR(INDEX(Produkte!$B$2:$B$301,MATCH(B253,Produkte!$A$2:$A$301,0)),"")</f>
        <v/>
      </c>
      <c r="D253" s="7" t="n"/>
      <c r="E253" s="7" t="n"/>
      <c r="F253" s="7" t="n"/>
      <c r="G253" s="7" t="n"/>
      <c r="H253" s="18" t="n"/>
      <c r="I253" s="7" t="n"/>
      <c r="J253" s="7" t="n"/>
      <c r="K253" s="7" t="n"/>
      <c r="L253" s="12">
        <f>IF(F253="","",INT(F253/0.5))</f>
        <v/>
      </c>
      <c r="M253" s="7" t="n"/>
    </row>
    <row r="254">
      <c r="A254" s="7" t="n"/>
      <c r="B254" s="7" t="n"/>
      <c r="C254" s="12">
        <f>IFERROR(INDEX(Produkte!$B$2:$B$301,MATCH(B254,Produkte!$A$2:$A$301,0)),"")</f>
        <v/>
      </c>
      <c r="D254" s="7" t="n"/>
      <c r="E254" s="7" t="n"/>
      <c r="F254" s="7" t="n"/>
      <c r="G254" s="7" t="n"/>
      <c r="H254" s="18" t="n"/>
      <c r="I254" s="7" t="n"/>
      <c r="J254" s="7" t="n"/>
      <c r="K254" s="7" t="n"/>
      <c r="L254" s="12">
        <f>IF(F254="","",INT(F254/0.5))</f>
        <v/>
      </c>
      <c r="M254" s="7" t="n"/>
    </row>
    <row r="255">
      <c r="A255" s="7" t="n"/>
      <c r="B255" s="7" t="n"/>
      <c r="C255" s="12">
        <f>IFERROR(INDEX(Produkte!$B$2:$B$301,MATCH(B255,Produkte!$A$2:$A$301,0)),"")</f>
        <v/>
      </c>
      <c r="D255" s="7" t="n"/>
      <c r="E255" s="7" t="n"/>
      <c r="F255" s="7" t="n"/>
      <c r="G255" s="7" t="n"/>
      <c r="H255" s="18" t="n"/>
      <c r="I255" s="7" t="n"/>
      <c r="J255" s="7" t="n"/>
      <c r="K255" s="7" t="n"/>
      <c r="L255" s="12">
        <f>IF(F255="","",INT(F255/0.5))</f>
        <v/>
      </c>
      <c r="M255" s="7" t="n"/>
    </row>
    <row r="256">
      <c r="A256" s="7" t="n"/>
      <c r="B256" s="7" t="n"/>
      <c r="C256" s="12">
        <f>IFERROR(INDEX(Produkte!$B$2:$B$301,MATCH(B256,Produkte!$A$2:$A$301,0)),"")</f>
        <v/>
      </c>
      <c r="D256" s="7" t="n"/>
      <c r="E256" s="7" t="n"/>
      <c r="F256" s="7" t="n"/>
      <c r="G256" s="7" t="n"/>
      <c r="H256" s="18" t="n"/>
      <c r="I256" s="7" t="n"/>
      <c r="J256" s="7" t="n"/>
      <c r="K256" s="7" t="n"/>
      <c r="L256" s="12">
        <f>IF(F256="","",INT(F256/0.5))</f>
        <v/>
      </c>
      <c r="M256" s="7" t="n"/>
    </row>
    <row r="257">
      <c r="A257" s="7" t="n"/>
      <c r="B257" s="7" t="n"/>
      <c r="C257" s="12">
        <f>IFERROR(INDEX(Produkte!$B$2:$B$301,MATCH(B257,Produkte!$A$2:$A$301,0)),"")</f>
        <v/>
      </c>
      <c r="D257" s="7" t="n"/>
      <c r="E257" s="7" t="n"/>
      <c r="F257" s="7" t="n"/>
      <c r="G257" s="7" t="n"/>
      <c r="H257" s="18" t="n"/>
      <c r="I257" s="7" t="n"/>
      <c r="J257" s="7" t="n"/>
      <c r="K257" s="7" t="n"/>
      <c r="L257" s="12">
        <f>IF(F257="","",INT(F257/0.5))</f>
        <v/>
      </c>
      <c r="M257" s="7" t="n"/>
    </row>
    <row r="258">
      <c r="A258" s="7" t="n"/>
      <c r="B258" s="7" t="n"/>
      <c r="C258" s="12">
        <f>IFERROR(INDEX(Produkte!$B$2:$B$301,MATCH(B258,Produkte!$A$2:$A$301,0)),"")</f>
        <v/>
      </c>
      <c r="D258" s="7" t="n"/>
      <c r="E258" s="7" t="n"/>
      <c r="F258" s="7" t="n"/>
      <c r="G258" s="7" t="n"/>
      <c r="H258" s="18" t="n"/>
      <c r="I258" s="7" t="n"/>
      <c r="J258" s="7" t="n"/>
      <c r="K258" s="7" t="n"/>
      <c r="L258" s="12">
        <f>IF(F258="","",INT(F258/0.5))</f>
        <v/>
      </c>
      <c r="M258" s="7" t="n"/>
    </row>
    <row r="259">
      <c r="A259" s="7" t="n"/>
      <c r="B259" s="7" t="n"/>
      <c r="C259" s="12">
        <f>IFERROR(INDEX(Produkte!$B$2:$B$301,MATCH(B259,Produkte!$A$2:$A$301,0)),"")</f>
        <v/>
      </c>
      <c r="D259" s="7" t="n"/>
      <c r="E259" s="7" t="n"/>
      <c r="F259" s="7" t="n"/>
      <c r="G259" s="7" t="n"/>
      <c r="H259" s="18" t="n"/>
      <c r="I259" s="7" t="n"/>
      <c r="J259" s="7" t="n"/>
      <c r="K259" s="7" t="n"/>
      <c r="L259" s="12">
        <f>IF(F259="","",INT(F259/0.5))</f>
        <v/>
      </c>
      <c r="M259" s="7" t="n"/>
    </row>
    <row r="260">
      <c r="A260" s="7" t="n"/>
      <c r="B260" s="7" t="n"/>
      <c r="C260" s="12">
        <f>IFERROR(INDEX(Produkte!$B$2:$B$301,MATCH(B260,Produkte!$A$2:$A$301,0)),"")</f>
        <v/>
      </c>
      <c r="D260" s="7" t="n"/>
      <c r="E260" s="7" t="n"/>
      <c r="F260" s="7" t="n"/>
      <c r="G260" s="7" t="n"/>
      <c r="H260" s="18" t="n"/>
      <c r="I260" s="7" t="n"/>
      <c r="J260" s="7" t="n"/>
      <c r="K260" s="7" t="n"/>
      <c r="L260" s="12">
        <f>IF(F260="","",INT(F260/0.5))</f>
        <v/>
      </c>
      <c r="M260" s="7" t="n"/>
    </row>
    <row r="261">
      <c r="A261" s="7" t="n"/>
      <c r="B261" s="7" t="n"/>
      <c r="C261" s="12">
        <f>IFERROR(INDEX(Produkte!$B$2:$B$301,MATCH(B261,Produkte!$A$2:$A$301,0)),"")</f>
        <v/>
      </c>
      <c r="D261" s="7" t="n"/>
      <c r="E261" s="7" t="n"/>
      <c r="F261" s="7" t="n"/>
      <c r="G261" s="7" t="n"/>
      <c r="H261" s="18" t="n"/>
      <c r="I261" s="7" t="n"/>
      <c r="J261" s="7" t="n"/>
      <c r="K261" s="7" t="n"/>
      <c r="L261" s="12">
        <f>IF(F261="","",INT(F261/0.5))</f>
        <v/>
      </c>
      <c r="M261" s="7" t="n"/>
    </row>
    <row r="262">
      <c r="A262" s="7" t="n"/>
      <c r="B262" s="7" t="n"/>
      <c r="C262" s="12">
        <f>IFERROR(INDEX(Produkte!$B$2:$B$301,MATCH(B262,Produkte!$A$2:$A$301,0)),"")</f>
        <v/>
      </c>
      <c r="D262" s="7" t="n"/>
      <c r="E262" s="7" t="n"/>
      <c r="F262" s="7" t="n"/>
      <c r="G262" s="7" t="n"/>
      <c r="H262" s="18" t="n"/>
      <c r="I262" s="7" t="n"/>
      <c r="J262" s="7" t="n"/>
      <c r="K262" s="7" t="n"/>
      <c r="L262" s="12">
        <f>IF(F262="","",INT(F262/0.5))</f>
        <v/>
      </c>
      <c r="M262" s="7" t="n"/>
    </row>
    <row r="263">
      <c r="A263" s="7" t="n"/>
      <c r="B263" s="7" t="n"/>
      <c r="C263" s="12">
        <f>IFERROR(INDEX(Produkte!$B$2:$B$301,MATCH(B263,Produkte!$A$2:$A$301,0)),"")</f>
        <v/>
      </c>
      <c r="D263" s="7" t="n"/>
      <c r="E263" s="7" t="n"/>
      <c r="F263" s="7" t="n"/>
      <c r="G263" s="7" t="n"/>
      <c r="H263" s="18" t="n"/>
      <c r="I263" s="7" t="n"/>
      <c r="J263" s="7" t="n"/>
      <c r="K263" s="7" t="n"/>
      <c r="L263" s="12">
        <f>IF(F263="","",INT(F263/0.5))</f>
        <v/>
      </c>
      <c r="M263" s="7" t="n"/>
    </row>
    <row r="264">
      <c r="A264" s="7" t="n"/>
      <c r="B264" s="7" t="n"/>
      <c r="C264" s="12">
        <f>IFERROR(INDEX(Produkte!$B$2:$B$301,MATCH(B264,Produkte!$A$2:$A$301,0)),"")</f>
        <v/>
      </c>
      <c r="D264" s="7" t="n"/>
      <c r="E264" s="7" t="n"/>
      <c r="F264" s="7" t="n"/>
      <c r="G264" s="7" t="n"/>
      <c r="H264" s="18" t="n"/>
      <c r="I264" s="7" t="n"/>
      <c r="J264" s="7" t="n"/>
      <c r="K264" s="7" t="n"/>
      <c r="L264" s="12">
        <f>IF(F264="","",INT(F264/0.5))</f>
        <v/>
      </c>
      <c r="M264" s="7" t="n"/>
    </row>
    <row r="265">
      <c r="A265" s="7" t="n"/>
      <c r="B265" s="7" t="n"/>
      <c r="C265" s="12">
        <f>IFERROR(INDEX(Produkte!$B$2:$B$301,MATCH(B265,Produkte!$A$2:$A$301,0)),"")</f>
        <v/>
      </c>
      <c r="D265" s="7" t="n"/>
      <c r="E265" s="7" t="n"/>
      <c r="F265" s="7" t="n"/>
      <c r="G265" s="7" t="n"/>
      <c r="H265" s="18" t="n"/>
      <c r="I265" s="7" t="n"/>
      <c r="J265" s="7" t="n"/>
      <c r="K265" s="7" t="n"/>
      <c r="L265" s="12">
        <f>IF(F265="","",INT(F265/0.5))</f>
        <v/>
      </c>
      <c r="M265" s="7" t="n"/>
    </row>
    <row r="266">
      <c r="A266" s="7" t="n"/>
      <c r="B266" s="7" t="n"/>
      <c r="C266" s="12">
        <f>IFERROR(INDEX(Produkte!$B$2:$B$301,MATCH(B266,Produkte!$A$2:$A$301,0)),"")</f>
        <v/>
      </c>
      <c r="D266" s="7" t="n"/>
      <c r="E266" s="7" t="n"/>
      <c r="F266" s="7" t="n"/>
      <c r="G266" s="7" t="n"/>
      <c r="H266" s="18" t="n"/>
      <c r="I266" s="7" t="n"/>
      <c r="J266" s="7" t="n"/>
      <c r="K266" s="7" t="n"/>
      <c r="L266" s="12">
        <f>IF(F266="","",INT(F266/0.5))</f>
        <v/>
      </c>
      <c r="M266" s="7" t="n"/>
    </row>
    <row r="267">
      <c r="A267" s="7" t="n"/>
      <c r="B267" s="7" t="n"/>
      <c r="C267" s="12">
        <f>IFERROR(INDEX(Produkte!$B$2:$B$301,MATCH(B267,Produkte!$A$2:$A$301,0)),"")</f>
        <v/>
      </c>
      <c r="D267" s="7" t="n"/>
      <c r="E267" s="7" t="n"/>
      <c r="F267" s="7" t="n"/>
      <c r="G267" s="7" t="n"/>
      <c r="H267" s="18" t="n"/>
      <c r="I267" s="7" t="n"/>
      <c r="J267" s="7" t="n"/>
      <c r="K267" s="7" t="n"/>
      <c r="L267" s="12">
        <f>IF(F267="","",INT(F267/0.5))</f>
        <v/>
      </c>
      <c r="M267" s="7" t="n"/>
    </row>
    <row r="268">
      <c r="A268" s="7" t="n"/>
      <c r="B268" s="7" t="n"/>
      <c r="C268" s="12">
        <f>IFERROR(INDEX(Produkte!$B$2:$B$301,MATCH(B268,Produkte!$A$2:$A$301,0)),"")</f>
        <v/>
      </c>
      <c r="D268" s="7" t="n"/>
      <c r="E268" s="7" t="n"/>
      <c r="F268" s="7" t="n"/>
      <c r="G268" s="7" t="n"/>
      <c r="H268" s="18" t="n"/>
      <c r="I268" s="7" t="n"/>
      <c r="J268" s="7" t="n"/>
      <c r="K268" s="7" t="n"/>
      <c r="L268" s="12">
        <f>IF(F268="","",INT(F268/0.5))</f>
        <v/>
      </c>
      <c r="M268" s="7" t="n"/>
    </row>
    <row r="269">
      <c r="A269" s="7" t="n"/>
      <c r="B269" s="7" t="n"/>
      <c r="C269" s="12">
        <f>IFERROR(INDEX(Produkte!$B$2:$B$301,MATCH(B269,Produkte!$A$2:$A$301,0)),"")</f>
        <v/>
      </c>
      <c r="D269" s="7" t="n"/>
      <c r="E269" s="7" t="n"/>
      <c r="F269" s="7" t="n"/>
      <c r="G269" s="7" t="n"/>
      <c r="H269" s="18" t="n"/>
      <c r="I269" s="7" t="n"/>
      <c r="J269" s="7" t="n"/>
      <c r="K269" s="7" t="n"/>
      <c r="L269" s="12">
        <f>IF(F269="","",INT(F269/0.5))</f>
        <v/>
      </c>
      <c r="M269" s="7" t="n"/>
    </row>
    <row r="270">
      <c r="A270" s="7" t="n"/>
      <c r="B270" s="7" t="n"/>
      <c r="C270" s="12">
        <f>IFERROR(INDEX(Produkte!$B$2:$B$301,MATCH(B270,Produkte!$A$2:$A$301,0)),"")</f>
        <v/>
      </c>
      <c r="D270" s="7" t="n"/>
      <c r="E270" s="7" t="n"/>
      <c r="F270" s="7" t="n"/>
      <c r="G270" s="7" t="n"/>
      <c r="H270" s="18" t="n"/>
      <c r="I270" s="7" t="n"/>
      <c r="J270" s="7" t="n"/>
      <c r="K270" s="7" t="n"/>
      <c r="L270" s="12">
        <f>IF(F270="","",INT(F270/0.5))</f>
        <v/>
      </c>
      <c r="M270" s="7" t="n"/>
    </row>
    <row r="271">
      <c r="A271" s="7" t="n"/>
      <c r="B271" s="7" t="n"/>
      <c r="C271" s="12">
        <f>IFERROR(INDEX(Produkte!$B$2:$B$301,MATCH(B271,Produkte!$A$2:$A$301,0)),"")</f>
        <v/>
      </c>
      <c r="D271" s="7" t="n"/>
      <c r="E271" s="7" t="n"/>
      <c r="F271" s="7" t="n"/>
      <c r="G271" s="7" t="n"/>
      <c r="H271" s="18" t="n"/>
      <c r="I271" s="7" t="n"/>
      <c r="J271" s="7" t="n"/>
      <c r="K271" s="7" t="n"/>
      <c r="L271" s="12">
        <f>IF(F271="","",INT(F271/0.5))</f>
        <v/>
      </c>
      <c r="M271" s="7" t="n"/>
    </row>
    <row r="272">
      <c r="A272" s="7" t="n"/>
      <c r="B272" s="7" t="n"/>
      <c r="C272" s="12">
        <f>IFERROR(INDEX(Produkte!$B$2:$B$301,MATCH(B272,Produkte!$A$2:$A$301,0)),"")</f>
        <v/>
      </c>
      <c r="D272" s="7" t="n"/>
      <c r="E272" s="7" t="n"/>
      <c r="F272" s="7" t="n"/>
      <c r="G272" s="7" t="n"/>
      <c r="H272" s="18" t="n"/>
      <c r="I272" s="7" t="n"/>
      <c r="J272" s="7" t="n"/>
      <c r="K272" s="7" t="n"/>
      <c r="L272" s="12">
        <f>IF(F272="","",INT(F272/0.5))</f>
        <v/>
      </c>
      <c r="M272" s="7" t="n"/>
    </row>
    <row r="273">
      <c r="A273" s="7" t="n"/>
      <c r="B273" s="7" t="n"/>
      <c r="C273" s="12">
        <f>IFERROR(INDEX(Produkte!$B$2:$B$301,MATCH(B273,Produkte!$A$2:$A$301,0)),"")</f>
        <v/>
      </c>
      <c r="D273" s="7" t="n"/>
      <c r="E273" s="7" t="n"/>
      <c r="F273" s="7" t="n"/>
      <c r="G273" s="7" t="n"/>
      <c r="H273" s="18" t="n"/>
      <c r="I273" s="7" t="n"/>
      <c r="J273" s="7" t="n"/>
      <c r="K273" s="7" t="n"/>
      <c r="L273" s="12">
        <f>IF(F273="","",INT(F273/0.5))</f>
        <v/>
      </c>
      <c r="M273" s="7" t="n"/>
    </row>
    <row r="274">
      <c r="A274" s="7" t="n"/>
      <c r="B274" s="7" t="n"/>
      <c r="C274" s="12">
        <f>IFERROR(INDEX(Produkte!$B$2:$B$301,MATCH(B274,Produkte!$A$2:$A$301,0)),"")</f>
        <v/>
      </c>
      <c r="D274" s="7" t="n"/>
      <c r="E274" s="7" t="n"/>
      <c r="F274" s="7" t="n"/>
      <c r="G274" s="7" t="n"/>
      <c r="H274" s="18" t="n"/>
      <c r="I274" s="7" t="n"/>
      <c r="J274" s="7" t="n"/>
      <c r="K274" s="7" t="n"/>
      <c r="L274" s="12">
        <f>IF(F274="","",INT(F274/0.5))</f>
        <v/>
      </c>
      <c r="M274" s="7" t="n"/>
    </row>
    <row r="275">
      <c r="A275" s="7" t="n"/>
      <c r="B275" s="7" t="n"/>
      <c r="C275" s="12">
        <f>IFERROR(INDEX(Produkte!$B$2:$B$301,MATCH(B275,Produkte!$A$2:$A$301,0)),"")</f>
        <v/>
      </c>
      <c r="D275" s="7" t="n"/>
      <c r="E275" s="7" t="n"/>
      <c r="F275" s="7" t="n"/>
      <c r="G275" s="7" t="n"/>
      <c r="H275" s="18" t="n"/>
      <c r="I275" s="7" t="n"/>
      <c r="J275" s="7" t="n"/>
      <c r="K275" s="7" t="n"/>
      <c r="L275" s="12">
        <f>IF(F275="","",INT(F275/0.5))</f>
        <v/>
      </c>
      <c r="M275" s="7" t="n"/>
    </row>
    <row r="276">
      <c r="A276" s="7" t="n"/>
      <c r="B276" s="7" t="n"/>
      <c r="C276" s="12">
        <f>IFERROR(INDEX(Produkte!$B$2:$B$301,MATCH(B276,Produkte!$A$2:$A$301,0)),"")</f>
        <v/>
      </c>
      <c r="D276" s="7" t="n"/>
      <c r="E276" s="7" t="n"/>
      <c r="F276" s="7" t="n"/>
      <c r="G276" s="7" t="n"/>
      <c r="H276" s="18" t="n"/>
      <c r="I276" s="7" t="n"/>
      <c r="J276" s="7" t="n"/>
      <c r="K276" s="7" t="n"/>
      <c r="L276" s="12">
        <f>IF(F276="","",INT(F276/0.5))</f>
        <v/>
      </c>
      <c r="M276" s="7" t="n"/>
    </row>
    <row r="277">
      <c r="A277" s="7" t="n"/>
      <c r="B277" s="7" t="n"/>
      <c r="C277" s="12">
        <f>IFERROR(INDEX(Produkte!$B$2:$B$301,MATCH(B277,Produkte!$A$2:$A$301,0)),"")</f>
        <v/>
      </c>
      <c r="D277" s="7" t="n"/>
      <c r="E277" s="7" t="n"/>
      <c r="F277" s="7" t="n"/>
      <c r="G277" s="7" t="n"/>
      <c r="H277" s="18" t="n"/>
      <c r="I277" s="7" t="n"/>
      <c r="J277" s="7" t="n"/>
      <c r="K277" s="7" t="n"/>
      <c r="L277" s="12">
        <f>IF(F277="","",INT(F277/0.5))</f>
        <v/>
      </c>
      <c r="M277" s="7" t="n"/>
    </row>
    <row r="278">
      <c r="A278" s="7" t="n"/>
      <c r="B278" s="7" t="n"/>
      <c r="C278" s="12">
        <f>IFERROR(INDEX(Produkte!$B$2:$B$301,MATCH(B278,Produkte!$A$2:$A$301,0)),"")</f>
        <v/>
      </c>
      <c r="D278" s="7" t="n"/>
      <c r="E278" s="7" t="n"/>
      <c r="F278" s="7" t="n"/>
      <c r="G278" s="7" t="n"/>
      <c r="H278" s="18" t="n"/>
      <c r="I278" s="7" t="n"/>
      <c r="J278" s="7" t="n"/>
      <c r="K278" s="7" t="n"/>
      <c r="L278" s="12">
        <f>IF(F278="","",INT(F278/0.5))</f>
        <v/>
      </c>
      <c r="M278" s="7" t="n"/>
    </row>
    <row r="279">
      <c r="A279" s="7" t="n"/>
      <c r="B279" s="7" t="n"/>
      <c r="C279" s="12">
        <f>IFERROR(INDEX(Produkte!$B$2:$B$301,MATCH(B279,Produkte!$A$2:$A$301,0)),"")</f>
        <v/>
      </c>
      <c r="D279" s="7" t="n"/>
      <c r="E279" s="7" t="n"/>
      <c r="F279" s="7" t="n"/>
      <c r="G279" s="7" t="n"/>
      <c r="H279" s="18" t="n"/>
      <c r="I279" s="7" t="n"/>
      <c r="J279" s="7" t="n"/>
      <c r="K279" s="7" t="n"/>
      <c r="L279" s="12">
        <f>IF(F279="","",INT(F279/0.5))</f>
        <v/>
      </c>
      <c r="M279" s="7" t="n"/>
    </row>
    <row r="280">
      <c r="A280" s="7" t="n"/>
      <c r="B280" s="7" t="n"/>
      <c r="C280" s="12">
        <f>IFERROR(INDEX(Produkte!$B$2:$B$301,MATCH(B280,Produkte!$A$2:$A$301,0)),"")</f>
        <v/>
      </c>
      <c r="D280" s="7" t="n"/>
      <c r="E280" s="7" t="n"/>
      <c r="F280" s="7" t="n"/>
      <c r="G280" s="7" t="n"/>
      <c r="H280" s="18" t="n"/>
      <c r="I280" s="7" t="n"/>
      <c r="J280" s="7" t="n"/>
      <c r="K280" s="7" t="n"/>
      <c r="L280" s="12">
        <f>IF(F280="","",INT(F280/0.5))</f>
        <v/>
      </c>
      <c r="M280" s="7" t="n"/>
    </row>
    <row r="281">
      <c r="A281" s="7" t="n"/>
      <c r="B281" s="7" t="n"/>
      <c r="C281" s="12">
        <f>IFERROR(INDEX(Produkte!$B$2:$B$301,MATCH(B281,Produkte!$A$2:$A$301,0)),"")</f>
        <v/>
      </c>
      <c r="D281" s="7" t="n"/>
      <c r="E281" s="7" t="n"/>
      <c r="F281" s="7" t="n"/>
      <c r="G281" s="7" t="n"/>
      <c r="H281" s="18" t="n"/>
      <c r="I281" s="7" t="n"/>
      <c r="J281" s="7" t="n"/>
      <c r="K281" s="7" t="n"/>
      <c r="L281" s="12">
        <f>IF(F281="","",INT(F281/0.5))</f>
        <v/>
      </c>
      <c r="M281" s="7" t="n"/>
    </row>
    <row r="282">
      <c r="A282" s="7" t="n"/>
      <c r="B282" s="7" t="n"/>
      <c r="C282" s="12">
        <f>IFERROR(INDEX(Produkte!$B$2:$B$301,MATCH(B282,Produkte!$A$2:$A$301,0)),"")</f>
        <v/>
      </c>
      <c r="D282" s="7" t="n"/>
      <c r="E282" s="7" t="n"/>
      <c r="F282" s="7" t="n"/>
      <c r="G282" s="7" t="n"/>
      <c r="H282" s="18" t="n"/>
      <c r="I282" s="7" t="n"/>
      <c r="J282" s="7" t="n"/>
      <c r="K282" s="7" t="n"/>
      <c r="L282" s="12">
        <f>IF(F282="","",INT(F282/0.5))</f>
        <v/>
      </c>
      <c r="M282" s="7" t="n"/>
    </row>
    <row r="283">
      <c r="A283" s="7" t="n"/>
      <c r="B283" s="7" t="n"/>
      <c r="C283" s="12">
        <f>IFERROR(INDEX(Produkte!$B$2:$B$301,MATCH(B283,Produkte!$A$2:$A$301,0)),"")</f>
        <v/>
      </c>
      <c r="D283" s="7" t="n"/>
      <c r="E283" s="7" t="n"/>
      <c r="F283" s="7" t="n"/>
      <c r="G283" s="7" t="n"/>
      <c r="H283" s="18" t="n"/>
      <c r="I283" s="7" t="n"/>
      <c r="J283" s="7" t="n"/>
      <c r="K283" s="7" t="n"/>
      <c r="L283" s="12">
        <f>IF(F283="","",INT(F283/0.5))</f>
        <v/>
      </c>
      <c r="M283" s="7" t="n"/>
    </row>
    <row r="284">
      <c r="A284" s="7" t="n"/>
      <c r="B284" s="7" t="n"/>
      <c r="C284" s="12">
        <f>IFERROR(INDEX(Produkte!$B$2:$B$301,MATCH(B284,Produkte!$A$2:$A$301,0)),"")</f>
        <v/>
      </c>
      <c r="D284" s="7" t="n"/>
      <c r="E284" s="7" t="n"/>
      <c r="F284" s="7" t="n"/>
      <c r="G284" s="7" t="n"/>
      <c r="H284" s="18" t="n"/>
      <c r="I284" s="7" t="n"/>
      <c r="J284" s="7" t="n"/>
      <c r="K284" s="7" t="n"/>
      <c r="L284" s="12">
        <f>IF(F284="","",INT(F284/0.5))</f>
        <v/>
      </c>
      <c r="M284" s="7" t="n"/>
    </row>
    <row r="285">
      <c r="A285" s="7" t="n"/>
      <c r="B285" s="7" t="n"/>
      <c r="C285" s="12">
        <f>IFERROR(INDEX(Produkte!$B$2:$B$301,MATCH(B285,Produkte!$A$2:$A$301,0)),"")</f>
        <v/>
      </c>
      <c r="D285" s="7" t="n"/>
      <c r="E285" s="7" t="n"/>
      <c r="F285" s="7" t="n"/>
      <c r="G285" s="7" t="n"/>
      <c r="H285" s="18" t="n"/>
      <c r="I285" s="7" t="n"/>
      <c r="J285" s="7" t="n"/>
      <c r="K285" s="7" t="n"/>
      <c r="L285" s="12">
        <f>IF(F285="","",INT(F285/0.5))</f>
        <v/>
      </c>
      <c r="M285" s="7" t="n"/>
    </row>
    <row r="286">
      <c r="A286" s="7" t="n"/>
      <c r="B286" s="7" t="n"/>
      <c r="C286" s="12">
        <f>IFERROR(INDEX(Produkte!$B$2:$B$301,MATCH(B286,Produkte!$A$2:$A$301,0)),"")</f>
        <v/>
      </c>
      <c r="D286" s="7" t="n"/>
      <c r="E286" s="7" t="n"/>
      <c r="F286" s="7" t="n"/>
      <c r="G286" s="7" t="n"/>
      <c r="H286" s="18" t="n"/>
      <c r="I286" s="7" t="n"/>
      <c r="J286" s="7" t="n"/>
      <c r="K286" s="7" t="n"/>
      <c r="L286" s="12">
        <f>IF(F286="","",INT(F286/0.5))</f>
        <v/>
      </c>
      <c r="M286" s="7" t="n"/>
    </row>
    <row r="287">
      <c r="A287" s="7" t="n"/>
      <c r="B287" s="7" t="n"/>
      <c r="C287" s="12">
        <f>IFERROR(INDEX(Produkte!$B$2:$B$301,MATCH(B287,Produkte!$A$2:$A$301,0)),"")</f>
        <v/>
      </c>
      <c r="D287" s="7" t="n"/>
      <c r="E287" s="7" t="n"/>
      <c r="F287" s="7" t="n"/>
      <c r="G287" s="7" t="n"/>
      <c r="H287" s="18" t="n"/>
      <c r="I287" s="7" t="n"/>
      <c r="J287" s="7" t="n"/>
      <c r="K287" s="7" t="n"/>
      <c r="L287" s="12">
        <f>IF(F287="","",INT(F287/0.5))</f>
        <v/>
      </c>
      <c r="M287" s="7" t="n"/>
    </row>
    <row r="288">
      <c r="A288" s="7" t="n"/>
      <c r="B288" s="7" t="n"/>
      <c r="C288" s="12">
        <f>IFERROR(INDEX(Produkte!$B$2:$B$301,MATCH(B288,Produkte!$A$2:$A$301,0)),"")</f>
        <v/>
      </c>
      <c r="D288" s="7" t="n"/>
      <c r="E288" s="7" t="n"/>
      <c r="F288" s="7" t="n"/>
      <c r="G288" s="7" t="n"/>
      <c r="H288" s="18" t="n"/>
      <c r="I288" s="7" t="n"/>
      <c r="J288" s="7" t="n"/>
      <c r="K288" s="7" t="n"/>
      <c r="L288" s="12">
        <f>IF(F288="","",INT(F288/0.5))</f>
        <v/>
      </c>
      <c r="M288" s="7" t="n"/>
    </row>
    <row r="289">
      <c r="A289" s="7" t="n"/>
      <c r="B289" s="7" t="n"/>
      <c r="C289" s="12">
        <f>IFERROR(INDEX(Produkte!$B$2:$B$301,MATCH(B289,Produkte!$A$2:$A$301,0)),"")</f>
        <v/>
      </c>
      <c r="D289" s="7" t="n"/>
      <c r="E289" s="7" t="n"/>
      <c r="F289" s="7" t="n"/>
      <c r="G289" s="7" t="n"/>
      <c r="H289" s="18" t="n"/>
      <c r="I289" s="7" t="n"/>
      <c r="J289" s="7" t="n"/>
      <c r="K289" s="7" t="n"/>
      <c r="L289" s="12">
        <f>IF(F289="","",INT(F289/0.5))</f>
        <v/>
      </c>
      <c r="M289" s="7" t="n"/>
    </row>
    <row r="290">
      <c r="A290" s="7" t="n"/>
      <c r="B290" s="7" t="n"/>
      <c r="C290" s="12">
        <f>IFERROR(INDEX(Produkte!$B$2:$B$301,MATCH(B290,Produkte!$A$2:$A$301,0)),"")</f>
        <v/>
      </c>
      <c r="D290" s="7" t="n"/>
      <c r="E290" s="7" t="n"/>
      <c r="F290" s="7" t="n"/>
      <c r="G290" s="7" t="n"/>
      <c r="H290" s="18" t="n"/>
      <c r="I290" s="7" t="n"/>
      <c r="J290" s="7" t="n"/>
      <c r="K290" s="7" t="n"/>
      <c r="L290" s="12">
        <f>IF(F290="","",INT(F290/0.5))</f>
        <v/>
      </c>
      <c r="M290" s="7" t="n"/>
    </row>
    <row r="291">
      <c r="A291" s="7" t="n"/>
      <c r="B291" s="7" t="n"/>
      <c r="C291" s="12">
        <f>IFERROR(INDEX(Produkte!$B$2:$B$301,MATCH(B291,Produkte!$A$2:$A$301,0)),"")</f>
        <v/>
      </c>
      <c r="D291" s="7" t="n"/>
      <c r="E291" s="7" t="n"/>
      <c r="F291" s="7" t="n"/>
      <c r="G291" s="7" t="n"/>
      <c r="H291" s="18" t="n"/>
      <c r="I291" s="7" t="n"/>
      <c r="J291" s="7" t="n"/>
      <c r="K291" s="7" t="n"/>
      <c r="L291" s="12">
        <f>IF(F291="","",INT(F291/0.5))</f>
        <v/>
      </c>
      <c r="M291" s="7" t="n"/>
    </row>
    <row r="292">
      <c r="A292" s="7" t="n"/>
      <c r="B292" s="7" t="n"/>
      <c r="C292" s="12">
        <f>IFERROR(INDEX(Produkte!$B$2:$B$301,MATCH(B292,Produkte!$A$2:$A$301,0)),"")</f>
        <v/>
      </c>
      <c r="D292" s="7" t="n"/>
      <c r="E292" s="7" t="n"/>
      <c r="F292" s="7" t="n"/>
      <c r="G292" s="7" t="n"/>
      <c r="H292" s="18" t="n"/>
      <c r="I292" s="7" t="n"/>
      <c r="J292" s="7" t="n"/>
      <c r="K292" s="7" t="n"/>
      <c r="L292" s="12">
        <f>IF(F292="","",INT(F292/0.5))</f>
        <v/>
      </c>
      <c r="M292" s="7" t="n"/>
    </row>
    <row r="293">
      <c r="A293" s="7" t="n"/>
      <c r="B293" s="7" t="n"/>
      <c r="C293" s="12">
        <f>IFERROR(INDEX(Produkte!$B$2:$B$301,MATCH(B293,Produkte!$A$2:$A$301,0)),"")</f>
        <v/>
      </c>
      <c r="D293" s="7" t="n"/>
      <c r="E293" s="7" t="n"/>
      <c r="F293" s="7" t="n"/>
      <c r="G293" s="7" t="n"/>
      <c r="H293" s="18" t="n"/>
      <c r="I293" s="7" t="n"/>
      <c r="J293" s="7" t="n"/>
      <c r="K293" s="7" t="n"/>
      <c r="L293" s="12">
        <f>IF(F293="","",INT(F293/0.5))</f>
        <v/>
      </c>
      <c r="M293" s="7" t="n"/>
    </row>
    <row r="294">
      <c r="A294" s="7" t="n"/>
      <c r="B294" s="7" t="n"/>
      <c r="C294" s="12">
        <f>IFERROR(INDEX(Produkte!$B$2:$B$301,MATCH(B294,Produkte!$A$2:$A$301,0)),"")</f>
        <v/>
      </c>
      <c r="D294" s="7" t="n"/>
      <c r="E294" s="7" t="n"/>
      <c r="F294" s="7" t="n"/>
      <c r="G294" s="7" t="n"/>
      <c r="H294" s="18" t="n"/>
      <c r="I294" s="7" t="n"/>
      <c r="J294" s="7" t="n"/>
      <c r="K294" s="7" t="n"/>
      <c r="L294" s="12">
        <f>IF(F294="","",INT(F294/0.5))</f>
        <v/>
      </c>
      <c r="M294" s="7" t="n"/>
    </row>
    <row r="295">
      <c r="A295" s="7" t="n"/>
      <c r="B295" s="7" t="n"/>
      <c r="C295" s="12">
        <f>IFERROR(INDEX(Produkte!$B$2:$B$301,MATCH(B295,Produkte!$A$2:$A$301,0)),"")</f>
        <v/>
      </c>
      <c r="D295" s="7" t="n"/>
      <c r="E295" s="7" t="n"/>
      <c r="F295" s="7" t="n"/>
      <c r="G295" s="7" t="n"/>
      <c r="H295" s="18" t="n"/>
      <c r="I295" s="7" t="n"/>
      <c r="J295" s="7" t="n"/>
      <c r="K295" s="7" t="n"/>
      <c r="L295" s="12">
        <f>IF(F295="","",INT(F295/0.5))</f>
        <v/>
      </c>
      <c r="M295" s="7" t="n"/>
    </row>
    <row r="296">
      <c r="A296" s="7" t="n"/>
      <c r="B296" s="7" t="n"/>
      <c r="C296" s="12">
        <f>IFERROR(INDEX(Produkte!$B$2:$B$301,MATCH(B296,Produkte!$A$2:$A$301,0)),"")</f>
        <v/>
      </c>
      <c r="D296" s="7" t="n"/>
      <c r="E296" s="7" t="n"/>
      <c r="F296" s="7" t="n"/>
      <c r="G296" s="7" t="n"/>
      <c r="H296" s="18" t="n"/>
      <c r="I296" s="7" t="n"/>
      <c r="J296" s="7" t="n"/>
      <c r="K296" s="7" t="n"/>
      <c r="L296" s="12">
        <f>IF(F296="","",INT(F296/0.5))</f>
        <v/>
      </c>
      <c r="M296" s="7" t="n"/>
    </row>
    <row r="297">
      <c r="A297" s="7" t="n"/>
      <c r="B297" s="7" t="n"/>
      <c r="C297" s="12">
        <f>IFERROR(INDEX(Produkte!$B$2:$B$301,MATCH(B297,Produkte!$A$2:$A$301,0)),"")</f>
        <v/>
      </c>
      <c r="D297" s="7" t="n"/>
      <c r="E297" s="7" t="n"/>
      <c r="F297" s="7" t="n"/>
      <c r="G297" s="7" t="n"/>
      <c r="H297" s="18" t="n"/>
      <c r="I297" s="7" t="n"/>
      <c r="J297" s="7" t="n"/>
      <c r="K297" s="7" t="n"/>
      <c r="L297" s="12">
        <f>IF(F297="","",INT(F297/0.5))</f>
        <v/>
      </c>
      <c r="M297" s="7" t="n"/>
    </row>
    <row r="298">
      <c r="A298" s="7" t="n"/>
      <c r="B298" s="7" t="n"/>
      <c r="C298" s="12">
        <f>IFERROR(INDEX(Produkte!$B$2:$B$301,MATCH(B298,Produkte!$A$2:$A$301,0)),"")</f>
        <v/>
      </c>
      <c r="D298" s="7" t="n"/>
      <c r="E298" s="7" t="n"/>
      <c r="F298" s="7" t="n"/>
      <c r="G298" s="7" t="n"/>
      <c r="H298" s="18" t="n"/>
      <c r="I298" s="7" t="n"/>
      <c r="J298" s="7" t="n"/>
      <c r="K298" s="7" t="n"/>
      <c r="L298" s="12">
        <f>IF(F298="","",INT(F298/0.5))</f>
        <v/>
      </c>
      <c r="M298" s="7" t="n"/>
    </row>
    <row r="299">
      <c r="A299" s="7" t="n"/>
      <c r="B299" s="7" t="n"/>
      <c r="C299" s="12">
        <f>IFERROR(INDEX(Produkte!$B$2:$B$301,MATCH(B299,Produkte!$A$2:$A$301,0)),"")</f>
        <v/>
      </c>
      <c r="D299" s="7" t="n"/>
      <c r="E299" s="7" t="n"/>
      <c r="F299" s="7" t="n"/>
      <c r="G299" s="7" t="n"/>
      <c r="H299" s="18" t="n"/>
      <c r="I299" s="7" t="n"/>
      <c r="J299" s="7" t="n"/>
      <c r="K299" s="7" t="n"/>
      <c r="L299" s="12">
        <f>IF(F299="","",INT(F299/0.5))</f>
        <v/>
      </c>
      <c r="M299" s="7" t="n"/>
    </row>
    <row r="300">
      <c r="A300" s="7" t="n"/>
      <c r="B300" s="7" t="n"/>
      <c r="C300" s="12">
        <f>IFERROR(INDEX(Produkte!$B$2:$B$301,MATCH(B300,Produkte!$A$2:$A$301,0)),"")</f>
        <v/>
      </c>
      <c r="D300" s="7" t="n"/>
      <c r="E300" s="7" t="n"/>
      <c r="F300" s="7" t="n"/>
      <c r="G300" s="7" t="n"/>
      <c r="H300" s="18" t="n"/>
      <c r="I300" s="7" t="n"/>
      <c r="J300" s="7" t="n"/>
      <c r="K300" s="7" t="n"/>
      <c r="L300" s="12">
        <f>IF(F300="","",INT(F300/0.5))</f>
        <v/>
      </c>
      <c r="M300" s="7" t="n"/>
    </row>
    <row r="301">
      <c r="A301" s="7" t="n"/>
      <c r="B301" s="7" t="n"/>
      <c r="C301" s="12">
        <f>IFERROR(INDEX(Produkte!$B$2:$B$301,MATCH(B301,Produkte!$A$2:$A$301,0)),"")</f>
        <v/>
      </c>
      <c r="D301" s="7" t="n"/>
      <c r="E301" s="7" t="n"/>
      <c r="F301" s="7" t="n"/>
      <c r="G301" s="7" t="n"/>
      <c r="H301" s="18" t="n"/>
      <c r="I301" s="7" t="n"/>
      <c r="J301" s="7" t="n"/>
      <c r="K301" s="7" t="n"/>
      <c r="L301" s="12">
        <f>IF(F301="","",INT(F301/0.5))</f>
        <v/>
      </c>
      <c r="M301" s="7" t="n"/>
    </row>
  </sheetData>
  <autoFilter ref="A1:M301"/>
  <dataValidations count="3">
    <dataValidation sqref="B2:B301" showDropDown="0" showInputMessage="0" showErrorMessage="0" allowBlank="1" type="list">
      <formula1>=Produkte!$A$2:$A$301</formula1>
    </dataValidation>
    <dataValidation sqref="D2:D301" showDropDown="0" showInputMessage="0" showErrorMessage="0" allowBlank="1" type="list">
      <formula1>=Listen!$E$2:$E$41</formula1>
    </dataValidation>
    <dataValidation sqref="K2:K301" showDropDown="0" showInputMessage="0" showErrorMessage="0" allowBlank="1" type="list">
      <formula1>=Listen!$F$2:$F$41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12" customWidth="1" min="4" max="4"/>
    <col width="16" customWidth="1" min="5" max="5"/>
    <col width="34" customWidth="1" min="6" max="6"/>
    <col width="30" customWidth="1" min="7" max="7"/>
  </cols>
  <sheetData>
    <row r="1" ht="32" customHeight="1">
      <c r="A1" s="10" t="inlineStr">
        <is>
          <t>Artikelnummer (SKU)</t>
        </is>
      </c>
      <c r="B1" s="10" t="inlineStr">
        <is>
          <t>Produktname (automatisch)</t>
        </is>
      </c>
      <c r="C1" s="10" t="inlineStr">
        <is>
          <t>Aktives Fass (Fassnummer)</t>
        </is>
      </c>
      <c r="D1" s="10" t="inlineStr">
        <is>
          <t>Aktiv seit</t>
        </is>
      </c>
      <c r="E1" s="10" t="inlineStr">
        <is>
          <t>Gesetzt von</t>
        </is>
      </c>
      <c r="F1" s="10" t="inlineStr">
        <is>
          <t>Prüfung (automatisch)</t>
        </is>
      </c>
      <c r="G1" s="10" t="inlineStr">
        <is>
          <t>Bemerkung</t>
        </is>
      </c>
    </row>
    <row r="2">
      <c r="A2" s="11" t="inlineStr">
        <is>
          <t>APF-BRD-001</t>
        </is>
      </c>
      <c r="B2" s="12">
        <f>IFERROR(INDEX(Produkte!$B$2:$B$301,MATCH(A2,Produkte!$A$2:$A$301,0)),"")</f>
        <v/>
      </c>
      <c r="C2" s="11" t="inlineStr">
        <is>
          <t>F-017</t>
        </is>
      </c>
      <c r="D2" s="17" t="inlineStr">
        <is>
          <t>15.11.2025</t>
        </is>
      </c>
      <c r="E2" s="11" t="inlineStr">
        <is>
          <t>Mario</t>
        </is>
      </c>
      <c r="F2" s="12">
        <f>IF(A2="","",IF(COUNTIF($A$2:$A$301,A2)&gt;1,"FEHLER: Produkt mehrfach aktiv",IF(COUNTIF(Faesser!$A$2:$A$301,C2)=0,"FEHLER: Fassnummer unbekannt",IF(IFERROR(INDEX(Faesser!$B$2:$B$301,MATCH(C2,Faesser!$A$2:$A$301,0)),"")&lt;&gt;A2,"WARNUNG: Fass enthält anderes Produkt","OK"))))</f>
        <v/>
      </c>
      <c r="G2" s="11" t="inlineStr">
        <is>
          <t>Beispielzeile – bitte überschreiben</t>
        </is>
      </c>
    </row>
    <row r="3">
      <c r="A3" s="7" t="n"/>
      <c r="B3" s="12">
        <f>IFERROR(INDEX(Produkte!$B$2:$B$301,MATCH(A3,Produkte!$A$2:$A$301,0)),"")</f>
        <v/>
      </c>
      <c r="C3" s="7" t="n"/>
      <c r="D3" s="18" t="n"/>
      <c r="E3" s="7" t="n"/>
      <c r="F3" s="12">
        <f>IF(A3="","",IF(COUNTIF($A$2:$A$301,A3)&gt;1,"FEHLER: Produkt mehrfach aktiv",IF(COUNTIF(Faesser!$A$2:$A$301,C3)=0,"FEHLER: Fassnummer unbekannt",IF(IFERROR(INDEX(Faesser!$B$2:$B$301,MATCH(C3,Faesser!$A$2:$A$301,0)),"")&lt;&gt;A3,"WARNUNG: Fass enthält anderes Produkt","OK"))))</f>
        <v/>
      </c>
      <c r="G3" s="7" t="n"/>
    </row>
    <row r="4">
      <c r="A4" s="7" t="n"/>
      <c r="B4" s="12">
        <f>IFERROR(INDEX(Produkte!$B$2:$B$301,MATCH(A4,Produkte!$A$2:$A$301,0)),"")</f>
        <v/>
      </c>
      <c r="C4" s="7" t="n"/>
      <c r="D4" s="18" t="n"/>
      <c r="E4" s="7" t="n"/>
      <c r="F4" s="12">
        <f>IF(A4="","",IF(COUNTIF($A$2:$A$301,A4)&gt;1,"FEHLER: Produkt mehrfach aktiv",IF(COUNTIF(Faesser!$A$2:$A$301,C4)=0,"FEHLER: Fassnummer unbekannt",IF(IFERROR(INDEX(Faesser!$B$2:$B$301,MATCH(C4,Faesser!$A$2:$A$301,0)),"")&lt;&gt;A4,"WARNUNG: Fass enthält anderes Produkt","OK"))))</f>
        <v/>
      </c>
      <c r="G4" s="7" t="n"/>
    </row>
    <row r="5">
      <c r="A5" s="7" t="n"/>
      <c r="B5" s="12">
        <f>IFERROR(INDEX(Produkte!$B$2:$B$301,MATCH(A5,Produkte!$A$2:$A$301,0)),"")</f>
        <v/>
      </c>
      <c r="C5" s="7" t="n"/>
      <c r="D5" s="18" t="n"/>
      <c r="E5" s="7" t="n"/>
      <c r="F5" s="12">
        <f>IF(A5="","",IF(COUNTIF($A$2:$A$301,A5)&gt;1,"FEHLER: Produkt mehrfach aktiv",IF(COUNTIF(Faesser!$A$2:$A$301,C5)=0,"FEHLER: Fassnummer unbekannt",IF(IFERROR(INDEX(Faesser!$B$2:$B$301,MATCH(C5,Faesser!$A$2:$A$301,0)),"")&lt;&gt;A5,"WARNUNG: Fass enthält anderes Produkt","OK"))))</f>
        <v/>
      </c>
      <c r="G5" s="7" t="n"/>
    </row>
    <row r="6">
      <c r="A6" s="7" t="n"/>
      <c r="B6" s="12">
        <f>IFERROR(INDEX(Produkte!$B$2:$B$301,MATCH(A6,Produkte!$A$2:$A$301,0)),"")</f>
        <v/>
      </c>
      <c r="C6" s="7" t="n"/>
      <c r="D6" s="18" t="n"/>
      <c r="E6" s="7" t="n"/>
      <c r="F6" s="12">
        <f>IF(A6="","",IF(COUNTIF($A$2:$A$301,A6)&gt;1,"FEHLER: Produkt mehrfach aktiv",IF(COUNTIF(Faesser!$A$2:$A$301,C6)=0,"FEHLER: Fassnummer unbekannt",IF(IFERROR(INDEX(Faesser!$B$2:$B$301,MATCH(C6,Faesser!$A$2:$A$301,0)),"")&lt;&gt;A6,"WARNUNG: Fass enthält anderes Produkt","OK"))))</f>
        <v/>
      </c>
      <c r="G6" s="7" t="n"/>
    </row>
    <row r="7">
      <c r="A7" s="7" t="n"/>
      <c r="B7" s="12">
        <f>IFERROR(INDEX(Produkte!$B$2:$B$301,MATCH(A7,Produkte!$A$2:$A$301,0)),"")</f>
        <v/>
      </c>
      <c r="C7" s="7" t="n"/>
      <c r="D7" s="18" t="n"/>
      <c r="E7" s="7" t="n"/>
      <c r="F7" s="12">
        <f>IF(A7="","",IF(COUNTIF($A$2:$A$301,A7)&gt;1,"FEHLER: Produkt mehrfach aktiv",IF(COUNTIF(Faesser!$A$2:$A$301,C7)=0,"FEHLER: Fassnummer unbekannt",IF(IFERROR(INDEX(Faesser!$B$2:$B$301,MATCH(C7,Faesser!$A$2:$A$301,0)),"")&lt;&gt;A7,"WARNUNG: Fass enthält anderes Produkt","OK"))))</f>
        <v/>
      </c>
      <c r="G7" s="7" t="n"/>
    </row>
    <row r="8">
      <c r="A8" s="7" t="n"/>
      <c r="B8" s="12">
        <f>IFERROR(INDEX(Produkte!$B$2:$B$301,MATCH(A8,Produkte!$A$2:$A$301,0)),"")</f>
        <v/>
      </c>
      <c r="C8" s="7" t="n"/>
      <c r="D8" s="18" t="n"/>
      <c r="E8" s="7" t="n"/>
      <c r="F8" s="12">
        <f>IF(A8="","",IF(COUNTIF($A$2:$A$301,A8)&gt;1,"FEHLER: Produkt mehrfach aktiv",IF(COUNTIF(Faesser!$A$2:$A$301,C8)=0,"FEHLER: Fassnummer unbekannt",IF(IFERROR(INDEX(Faesser!$B$2:$B$301,MATCH(C8,Faesser!$A$2:$A$301,0)),"")&lt;&gt;A8,"WARNUNG: Fass enthält anderes Produkt","OK"))))</f>
        <v/>
      </c>
      <c r="G8" s="7" t="n"/>
    </row>
    <row r="9">
      <c r="A9" s="7" t="n"/>
      <c r="B9" s="12">
        <f>IFERROR(INDEX(Produkte!$B$2:$B$301,MATCH(A9,Produkte!$A$2:$A$301,0)),"")</f>
        <v/>
      </c>
      <c r="C9" s="7" t="n"/>
      <c r="D9" s="18" t="n"/>
      <c r="E9" s="7" t="n"/>
      <c r="F9" s="12">
        <f>IF(A9="","",IF(COUNTIF($A$2:$A$301,A9)&gt;1,"FEHLER: Produkt mehrfach aktiv",IF(COUNTIF(Faesser!$A$2:$A$301,C9)=0,"FEHLER: Fassnummer unbekannt",IF(IFERROR(INDEX(Faesser!$B$2:$B$301,MATCH(C9,Faesser!$A$2:$A$301,0)),"")&lt;&gt;A9,"WARNUNG: Fass enthält anderes Produkt","OK"))))</f>
        <v/>
      </c>
      <c r="G9" s="7" t="n"/>
    </row>
    <row r="10">
      <c r="A10" s="7" t="n"/>
      <c r="B10" s="12">
        <f>IFERROR(INDEX(Produkte!$B$2:$B$301,MATCH(A10,Produkte!$A$2:$A$301,0)),"")</f>
        <v/>
      </c>
      <c r="C10" s="7" t="n"/>
      <c r="D10" s="18" t="n"/>
      <c r="E10" s="7" t="n"/>
      <c r="F10" s="12">
        <f>IF(A10="","",IF(COUNTIF($A$2:$A$301,A10)&gt;1,"FEHLER: Produkt mehrfach aktiv",IF(COUNTIF(Faesser!$A$2:$A$301,C10)=0,"FEHLER: Fassnummer unbekannt",IF(IFERROR(INDEX(Faesser!$B$2:$B$301,MATCH(C10,Faesser!$A$2:$A$301,0)),"")&lt;&gt;A10,"WARNUNG: Fass enthält anderes Produkt","OK"))))</f>
        <v/>
      </c>
      <c r="G10" s="7" t="n"/>
    </row>
    <row r="11">
      <c r="A11" s="7" t="n"/>
      <c r="B11" s="12">
        <f>IFERROR(INDEX(Produkte!$B$2:$B$301,MATCH(A11,Produkte!$A$2:$A$301,0)),"")</f>
        <v/>
      </c>
      <c r="C11" s="7" t="n"/>
      <c r="D11" s="18" t="n"/>
      <c r="E11" s="7" t="n"/>
      <c r="F11" s="12">
        <f>IF(A11="","",IF(COUNTIF($A$2:$A$301,A11)&gt;1,"FEHLER: Produkt mehrfach aktiv",IF(COUNTIF(Faesser!$A$2:$A$301,C11)=0,"FEHLER: Fassnummer unbekannt",IF(IFERROR(INDEX(Faesser!$B$2:$B$301,MATCH(C11,Faesser!$A$2:$A$301,0)),"")&lt;&gt;A11,"WARNUNG: Fass enthält anderes Produkt","OK"))))</f>
        <v/>
      </c>
      <c r="G11" s="7" t="n"/>
    </row>
    <row r="12">
      <c r="A12" s="7" t="n"/>
      <c r="B12" s="12">
        <f>IFERROR(INDEX(Produkte!$B$2:$B$301,MATCH(A12,Produkte!$A$2:$A$301,0)),"")</f>
        <v/>
      </c>
      <c r="C12" s="7" t="n"/>
      <c r="D12" s="18" t="n"/>
      <c r="E12" s="7" t="n"/>
      <c r="F12" s="12">
        <f>IF(A12="","",IF(COUNTIF($A$2:$A$301,A12)&gt;1,"FEHLER: Produkt mehrfach aktiv",IF(COUNTIF(Faesser!$A$2:$A$301,C12)=0,"FEHLER: Fassnummer unbekannt",IF(IFERROR(INDEX(Faesser!$B$2:$B$301,MATCH(C12,Faesser!$A$2:$A$301,0)),"")&lt;&gt;A12,"WARNUNG: Fass enthält anderes Produkt","OK"))))</f>
        <v/>
      </c>
      <c r="G12" s="7" t="n"/>
    </row>
    <row r="13">
      <c r="A13" s="7" t="n"/>
      <c r="B13" s="12">
        <f>IFERROR(INDEX(Produkte!$B$2:$B$301,MATCH(A13,Produkte!$A$2:$A$301,0)),"")</f>
        <v/>
      </c>
      <c r="C13" s="7" t="n"/>
      <c r="D13" s="18" t="n"/>
      <c r="E13" s="7" t="n"/>
      <c r="F13" s="12">
        <f>IF(A13="","",IF(COUNTIF($A$2:$A$301,A13)&gt;1,"FEHLER: Produkt mehrfach aktiv",IF(COUNTIF(Faesser!$A$2:$A$301,C13)=0,"FEHLER: Fassnummer unbekannt",IF(IFERROR(INDEX(Faesser!$B$2:$B$301,MATCH(C13,Faesser!$A$2:$A$301,0)),"")&lt;&gt;A13,"WARNUNG: Fass enthält anderes Produkt","OK"))))</f>
        <v/>
      </c>
      <c r="G13" s="7" t="n"/>
    </row>
    <row r="14">
      <c r="A14" s="7" t="n"/>
      <c r="B14" s="12">
        <f>IFERROR(INDEX(Produkte!$B$2:$B$301,MATCH(A14,Produkte!$A$2:$A$301,0)),"")</f>
        <v/>
      </c>
      <c r="C14" s="7" t="n"/>
      <c r="D14" s="18" t="n"/>
      <c r="E14" s="7" t="n"/>
      <c r="F14" s="12">
        <f>IF(A14="","",IF(COUNTIF($A$2:$A$301,A14)&gt;1,"FEHLER: Produkt mehrfach aktiv",IF(COUNTIF(Faesser!$A$2:$A$301,C14)=0,"FEHLER: Fassnummer unbekannt",IF(IFERROR(INDEX(Faesser!$B$2:$B$301,MATCH(C14,Faesser!$A$2:$A$301,0)),"")&lt;&gt;A14,"WARNUNG: Fass enthält anderes Produkt","OK"))))</f>
        <v/>
      </c>
      <c r="G14" s="7" t="n"/>
    </row>
    <row r="15">
      <c r="A15" s="7" t="n"/>
      <c r="B15" s="12">
        <f>IFERROR(INDEX(Produkte!$B$2:$B$301,MATCH(A15,Produkte!$A$2:$A$301,0)),"")</f>
        <v/>
      </c>
      <c r="C15" s="7" t="n"/>
      <c r="D15" s="18" t="n"/>
      <c r="E15" s="7" t="n"/>
      <c r="F15" s="12">
        <f>IF(A15="","",IF(COUNTIF($A$2:$A$301,A15)&gt;1,"FEHLER: Produkt mehrfach aktiv",IF(COUNTIF(Faesser!$A$2:$A$301,C15)=0,"FEHLER: Fassnummer unbekannt",IF(IFERROR(INDEX(Faesser!$B$2:$B$301,MATCH(C15,Faesser!$A$2:$A$301,0)),"")&lt;&gt;A15,"WARNUNG: Fass enthält anderes Produkt","OK"))))</f>
        <v/>
      </c>
      <c r="G15" s="7" t="n"/>
    </row>
    <row r="16">
      <c r="A16" s="7" t="n"/>
      <c r="B16" s="12">
        <f>IFERROR(INDEX(Produkte!$B$2:$B$301,MATCH(A16,Produkte!$A$2:$A$301,0)),"")</f>
        <v/>
      </c>
      <c r="C16" s="7" t="n"/>
      <c r="D16" s="18" t="n"/>
      <c r="E16" s="7" t="n"/>
      <c r="F16" s="12">
        <f>IF(A16="","",IF(COUNTIF($A$2:$A$301,A16)&gt;1,"FEHLER: Produkt mehrfach aktiv",IF(COUNTIF(Faesser!$A$2:$A$301,C16)=0,"FEHLER: Fassnummer unbekannt",IF(IFERROR(INDEX(Faesser!$B$2:$B$301,MATCH(C16,Faesser!$A$2:$A$301,0)),"")&lt;&gt;A16,"WARNUNG: Fass enthält anderes Produkt","OK"))))</f>
        <v/>
      </c>
      <c r="G16" s="7" t="n"/>
    </row>
    <row r="17">
      <c r="A17" s="7" t="n"/>
      <c r="B17" s="12">
        <f>IFERROR(INDEX(Produkte!$B$2:$B$301,MATCH(A17,Produkte!$A$2:$A$301,0)),"")</f>
        <v/>
      </c>
      <c r="C17" s="7" t="n"/>
      <c r="D17" s="18" t="n"/>
      <c r="E17" s="7" t="n"/>
      <c r="F17" s="12">
        <f>IF(A17="","",IF(COUNTIF($A$2:$A$301,A17)&gt;1,"FEHLER: Produkt mehrfach aktiv",IF(COUNTIF(Faesser!$A$2:$A$301,C17)=0,"FEHLER: Fassnummer unbekannt",IF(IFERROR(INDEX(Faesser!$B$2:$B$301,MATCH(C17,Faesser!$A$2:$A$301,0)),"")&lt;&gt;A17,"WARNUNG: Fass enthält anderes Produkt","OK"))))</f>
        <v/>
      </c>
      <c r="G17" s="7" t="n"/>
    </row>
    <row r="18">
      <c r="A18" s="7" t="n"/>
      <c r="B18" s="12">
        <f>IFERROR(INDEX(Produkte!$B$2:$B$301,MATCH(A18,Produkte!$A$2:$A$301,0)),"")</f>
        <v/>
      </c>
      <c r="C18" s="7" t="n"/>
      <c r="D18" s="18" t="n"/>
      <c r="E18" s="7" t="n"/>
      <c r="F18" s="12">
        <f>IF(A18="","",IF(COUNTIF($A$2:$A$301,A18)&gt;1,"FEHLER: Produkt mehrfach aktiv",IF(COUNTIF(Faesser!$A$2:$A$301,C18)=0,"FEHLER: Fassnummer unbekannt",IF(IFERROR(INDEX(Faesser!$B$2:$B$301,MATCH(C18,Faesser!$A$2:$A$301,0)),"")&lt;&gt;A18,"WARNUNG: Fass enthält anderes Produkt","OK"))))</f>
        <v/>
      </c>
      <c r="G18" s="7" t="n"/>
    </row>
    <row r="19">
      <c r="A19" s="7" t="n"/>
      <c r="B19" s="12">
        <f>IFERROR(INDEX(Produkte!$B$2:$B$301,MATCH(A19,Produkte!$A$2:$A$301,0)),"")</f>
        <v/>
      </c>
      <c r="C19" s="7" t="n"/>
      <c r="D19" s="18" t="n"/>
      <c r="E19" s="7" t="n"/>
      <c r="F19" s="12">
        <f>IF(A19="","",IF(COUNTIF($A$2:$A$301,A19)&gt;1,"FEHLER: Produkt mehrfach aktiv",IF(COUNTIF(Faesser!$A$2:$A$301,C19)=0,"FEHLER: Fassnummer unbekannt",IF(IFERROR(INDEX(Faesser!$B$2:$B$301,MATCH(C19,Faesser!$A$2:$A$301,0)),"")&lt;&gt;A19,"WARNUNG: Fass enthält anderes Produkt","OK"))))</f>
        <v/>
      </c>
      <c r="G19" s="7" t="n"/>
    </row>
    <row r="20">
      <c r="A20" s="7" t="n"/>
      <c r="B20" s="12">
        <f>IFERROR(INDEX(Produkte!$B$2:$B$301,MATCH(A20,Produkte!$A$2:$A$301,0)),"")</f>
        <v/>
      </c>
      <c r="C20" s="7" t="n"/>
      <c r="D20" s="18" t="n"/>
      <c r="E20" s="7" t="n"/>
      <c r="F20" s="12">
        <f>IF(A20="","",IF(COUNTIF($A$2:$A$301,A20)&gt;1,"FEHLER: Produkt mehrfach aktiv",IF(COUNTIF(Faesser!$A$2:$A$301,C20)=0,"FEHLER: Fassnummer unbekannt",IF(IFERROR(INDEX(Faesser!$B$2:$B$301,MATCH(C20,Faesser!$A$2:$A$301,0)),"")&lt;&gt;A20,"WARNUNG: Fass enthält anderes Produkt","OK"))))</f>
        <v/>
      </c>
      <c r="G20" s="7" t="n"/>
    </row>
    <row r="21">
      <c r="A21" s="7" t="n"/>
      <c r="B21" s="12">
        <f>IFERROR(INDEX(Produkte!$B$2:$B$301,MATCH(A21,Produkte!$A$2:$A$301,0)),"")</f>
        <v/>
      </c>
      <c r="C21" s="7" t="n"/>
      <c r="D21" s="18" t="n"/>
      <c r="E21" s="7" t="n"/>
      <c r="F21" s="12">
        <f>IF(A21="","",IF(COUNTIF($A$2:$A$301,A21)&gt;1,"FEHLER: Produkt mehrfach aktiv",IF(COUNTIF(Faesser!$A$2:$A$301,C21)=0,"FEHLER: Fassnummer unbekannt",IF(IFERROR(INDEX(Faesser!$B$2:$B$301,MATCH(C21,Faesser!$A$2:$A$301,0)),"")&lt;&gt;A21,"WARNUNG: Fass enthält anderes Produkt","OK"))))</f>
        <v/>
      </c>
      <c r="G21" s="7" t="n"/>
    </row>
    <row r="22">
      <c r="A22" s="7" t="n"/>
      <c r="B22" s="12">
        <f>IFERROR(INDEX(Produkte!$B$2:$B$301,MATCH(A22,Produkte!$A$2:$A$301,0)),"")</f>
        <v/>
      </c>
      <c r="C22" s="7" t="n"/>
      <c r="D22" s="18" t="n"/>
      <c r="E22" s="7" t="n"/>
      <c r="F22" s="12">
        <f>IF(A22="","",IF(COUNTIF($A$2:$A$301,A22)&gt;1,"FEHLER: Produkt mehrfach aktiv",IF(COUNTIF(Faesser!$A$2:$A$301,C22)=0,"FEHLER: Fassnummer unbekannt",IF(IFERROR(INDEX(Faesser!$B$2:$B$301,MATCH(C22,Faesser!$A$2:$A$301,0)),"")&lt;&gt;A22,"WARNUNG: Fass enthält anderes Produkt","OK"))))</f>
        <v/>
      </c>
      <c r="G22" s="7" t="n"/>
    </row>
    <row r="23">
      <c r="A23" s="7" t="n"/>
      <c r="B23" s="12">
        <f>IFERROR(INDEX(Produkte!$B$2:$B$301,MATCH(A23,Produkte!$A$2:$A$301,0)),"")</f>
        <v/>
      </c>
      <c r="C23" s="7" t="n"/>
      <c r="D23" s="18" t="n"/>
      <c r="E23" s="7" t="n"/>
      <c r="F23" s="12">
        <f>IF(A23="","",IF(COUNTIF($A$2:$A$301,A23)&gt;1,"FEHLER: Produkt mehrfach aktiv",IF(COUNTIF(Faesser!$A$2:$A$301,C23)=0,"FEHLER: Fassnummer unbekannt",IF(IFERROR(INDEX(Faesser!$B$2:$B$301,MATCH(C23,Faesser!$A$2:$A$301,0)),"")&lt;&gt;A23,"WARNUNG: Fass enthält anderes Produkt","OK"))))</f>
        <v/>
      </c>
      <c r="G23" s="7" t="n"/>
    </row>
    <row r="24">
      <c r="A24" s="7" t="n"/>
      <c r="B24" s="12">
        <f>IFERROR(INDEX(Produkte!$B$2:$B$301,MATCH(A24,Produkte!$A$2:$A$301,0)),"")</f>
        <v/>
      </c>
      <c r="C24" s="7" t="n"/>
      <c r="D24" s="18" t="n"/>
      <c r="E24" s="7" t="n"/>
      <c r="F24" s="12">
        <f>IF(A24="","",IF(COUNTIF($A$2:$A$301,A24)&gt;1,"FEHLER: Produkt mehrfach aktiv",IF(COUNTIF(Faesser!$A$2:$A$301,C24)=0,"FEHLER: Fassnummer unbekannt",IF(IFERROR(INDEX(Faesser!$B$2:$B$301,MATCH(C24,Faesser!$A$2:$A$301,0)),"")&lt;&gt;A24,"WARNUNG: Fass enthält anderes Produkt","OK"))))</f>
        <v/>
      </c>
      <c r="G24" s="7" t="n"/>
    </row>
    <row r="25">
      <c r="A25" s="7" t="n"/>
      <c r="B25" s="12">
        <f>IFERROR(INDEX(Produkte!$B$2:$B$301,MATCH(A25,Produkte!$A$2:$A$301,0)),"")</f>
        <v/>
      </c>
      <c r="C25" s="7" t="n"/>
      <c r="D25" s="18" t="n"/>
      <c r="E25" s="7" t="n"/>
      <c r="F25" s="12">
        <f>IF(A25="","",IF(COUNTIF($A$2:$A$301,A25)&gt;1,"FEHLER: Produkt mehrfach aktiv",IF(COUNTIF(Faesser!$A$2:$A$301,C25)=0,"FEHLER: Fassnummer unbekannt",IF(IFERROR(INDEX(Faesser!$B$2:$B$301,MATCH(C25,Faesser!$A$2:$A$301,0)),"")&lt;&gt;A25,"WARNUNG: Fass enthält anderes Produkt","OK"))))</f>
        <v/>
      </c>
      <c r="G25" s="7" t="n"/>
    </row>
    <row r="26">
      <c r="A26" s="7" t="n"/>
      <c r="B26" s="12">
        <f>IFERROR(INDEX(Produkte!$B$2:$B$301,MATCH(A26,Produkte!$A$2:$A$301,0)),"")</f>
        <v/>
      </c>
      <c r="C26" s="7" t="n"/>
      <c r="D26" s="18" t="n"/>
      <c r="E26" s="7" t="n"/>
      <c r="F26" s="12">
        <f>IF(A26="","",IF(COUNTIF($A$2:$A$301,A26)&gt;1,"FEHLER: Produkt mehrfach aktiv",IF(COUNTIF(Faesser!$A$2:$A$301,C26)=0,"FEHLER: Fassnummer unbekannt",IF(IFERROR(INDEX(Faesser!$B$2:$B$301,MATCH(C26,Faesser!$A$2:$A$301,0)),"")&lt;&gt;A26,"WARNUNG: Fass enthält anderes Produkt","OK"))))</f>
        <v/>
      </c>
      <c r="G26" s="7" t="n"/>
    </row>
    <row r="27">
      <c r="A27" s="7" t="n"/>
      <c r="B27" s="12">
        <f>IFERROR(INDEX(Produkte!$B$2:$B$301,MATCH(A27,Produkte!$A$2:$A$301,0)),"")</f>
        <v/>
      </c>
      <c r="C27" s="7" t="n"/>
      <c r="D27" s="18" t="n"/>
      <c r="E27" s="7" t="n"/>
      <c r="F27" s="12">
        <f>IF(A27="","",IF(COUNTIF($A$2:$A$301,A27)&gt;1,"FEHLER: Produkt mehrfach aktiv",IF(COUNTIF(Faesser!$A$2:$A$301,C27)=0,"FEHLER: Fassnummer unbekannt",IF(IFERROR(INDEX(Faesser!$B$2:$B$301,MATCH(C27,Faesser!$A$2:$A$301,0)),"")&lt;&gt;A27,"WARNUNG: Fass enthält anderes Produkt","OK"))))</f>
        <v/>
      </c>
      <c r="G27" s="7" t="n"/>
    </row>
    <row r="28">
      <c r="A28" s="7" t="n"/>
      <c r="B28" s="12">
        <f>IFERROR(INDEX(Produkte!$B$2:$B$301,MATCH(A28,Produkte!$A$2:$A$301,0)),"")</f>
        <v/>
      </c>
      <c r="C28" s="7" t="n"/>
      <c r="D28" s="18" t="n"/>
      <c r="E28" s="7" t="n"/>
      <c r="F28" s="12">
        <f>IF(A28="","",IF(COUNTIF($A$2:$A$301,A28)&gt;1,"FEHLER: Produkt mehrfach aktiv",IF(COUNTIF(Faesser!$A$2:$A$301,C28)=0,"FEHLER: Fassnummer unbekannt",IF(IFERROR(INDEX(Faesser!$B$2:$B$301,MATCH(C28,Faesser!$A$2:$A$301,0)),"")&lt;&gt;A28,"WARNUNG: Fass enthält anderes Produkt","OK"))))</f>
        <v/>
      </c>
      <c r="G28" s="7" t="n"/>
    </row>
    <row r="29">
      <c r="A29" s="7" t="n"/>
      <c r="B29" s="12">
        <f>IFERROR(INDEX(Produkte!$B$2:$B$301,MATCH(A29,Produkte!$A$2:$A$301,0)),"")</f>
        <v/>
      </c>
      <c r="C29" s="7" t="n"/>
      <c r="D29" s="18" t="n"/>
      <c r="E29" s="7" t="n"/>
      <c r="F29" s="12">
        <f>IF(A29="","",IF(COUNTIF($A$2:$A$301,A29)&gt;1,"FEHLER: Produkt mehrfach aktiv",IF(COUNTIF(Faesser!$A$2:$A$301,C29)=0,"FEHLER: Fassnummer unbekannt",IF(IFERROR(INDEX(Faesser!$B$2:$B$301,MATCH(C29,Faesser!$A$2:$A$301,0)),"")&lt;&gt;A29,"WARNUNG: Fass enthält anderes Produkt","OK"))))</f>
        <v/>
      </c>
      <c r="G29" s="7" t="n"/>
    </row>
    <row r="30">
      <c r="A30" s="7" t="n"/>
      <c r="B30" s="12">
        <f>IFERROR(INDEX(Produkte!$B$2:$B$301,MATCH(A30,Produkte!$A$2:$A$301,0)),"")</f>
        <v/>
      </c>
      <c r="C30" s="7" t="n"/>
      <c r="D30" s="18" t="n"/>
      <c r="E30" s="7" t="n"/>
      <c r="F30" s="12">
        <f>IF(A30="","",IF(COUNTIF($A$2:$A$301,A30)&gt;1,"FEHLER: Produkt mehrfach aktiv",IF(COUNTIF(Faesser!$A$2:$A$301,C30)=0,"FEHLER: Fassnummer unbekannt",IF(IFERROR(INDEX(Faesser!$B$2:$B$301,MATCH(C30,Faesser!$A$2:$A$301,0)),"")&lt;&gt;A30,"WARNUNG: Fass enthält anderes Produkt","OK"))))</f>
        <v/>
      </c>
      <c r="G30" s="7" t="n"/>
    </row>
    <row r="31">
      <c r="A31" s="7" t="n"/>
      <c r="B31" s="12">
        <f>IFERROR(INDEX(Produkte!$B$2:$B$301,MATCH(A31,Produkte!$A$2:$A$301,0)),"")</f>
        <v/>
      </c>
      <c r="C31" s="7" t="n"/>
      <c r="D31" s="18" t="n"/>
      <c r="E31" s="7" t="n"/>
      <c r="F31" s="12">
        <f>IF(A31="","",IF(COUNTIF($A$2:$A$301,A31)&gt;1,"FEHLER: Produkt mehrfach aktiv",IF(COUNTIF(Faesser!$A$2:$A$301,C31)=0,"FEHLER: Fassnummer unbekannt",IF(IFERROR(INDEX(Faesser!$B$2:$B$301,MATCH(C31,Faesser!$A$2:$A$301,0)),"")&lt;&gt;A31,"WARNUNG: Fass enthält anderes Produkt","OK"))))</f>
        <v/>
      </c>
      <c r="G31" s="7" t="n"/>
    </row>
    <row r="32">
      <c r="A32" s="7" t="n"/>
      <c r="B32" s="12">
        <f>IFERROR(INDEX(Produkte!$B$2:$B$301,MATCH(A32,Produkte!$A$2:$A$301,0)),"")</f>
        <v/>
      </c>
      <c r="C32" s="7" t="n"/>
      <c r="D32" s="18" t="n"/>
      <c r="E32" s="7" t="n"/>
      <c r="F32" s="12">
        <f>IF(A32="","",IF(COUNTIF($A$2:$A$301,A32)&gt;1,"FEHLER: Produkt mehrfach aktiv",IF(COUNTIF(Faesser!$A$2:$A$301,C32)=0,"FEHLER: Fassnummer unbekannt",IF(IFERROR(INDEX(Faesser!$B$2:$B$301,MATCH(C32,Faesser!$A$2:$A$301,0)),"")&lt;&gt;A32,"WARNUNG: Fass enthält anderes Produkt","OK"))))</f>
        <v/>
      </c>
      <c r="G32" s="7" t="n"/>
    </row>
    <row r="33">
      <c r="A33" s="7" t="n"/>
      <c r="B33" s="12">
        <f>IFERROR(INDEX(Produkte!$B$2:$B$301,MATCH(A33,Produkte!$A$2:$A$301,0)),"")</f>
        <v/>
      </c>
      <c r="C33" s="7" t="n"/>
      <c r="D33" s="18" t="n"/>
      <c r="E33" s="7" t="n"/>
      <c r="F33" s="12">
        <f>IF(A33="","",IF(COUNTIF($A$2:$A$301,A33)&gt;1,"FEHLER: Produkt mehrfach aktiv",IF(COUNTIF(Faesser!$A$2:$A$301,C33)=0,"FEHLER: Fassnummer unbekannt",IF(IFERROR(INDEX(Faesser!$B$2:$B$301,MATCH(C33,Faesser!$A$2:$A$301,0)),"")&lt;&gt;A33,"WARNUNG: Fass enthält anderes Produkt","OK"))))</f>
        <v/>
      </c>
      <c r="G33" s="7" t="n"/>
    </row>
    <row r="34">
      <c r="A34" s="7" t="n"/>
      <c r="B34" s="12">
        <f>IFERROR(INDEX(Produkte!$B$2:$B$301,MATCH(A34,Produkte!$A$2:$A$301,0)),"")</f>
        <v/>
      </c>
      <c r="C34" s="7" t="n"/>
      <c r="D34" s="18" t="n"/>
      <c r="E34" s="7" t="n"/>
      <c r="F34" s="12">
        <f>IF(A34="","",IF(COUNTIF($A$2:$A$301,A34)&gt;1,"FEHLER: Produkt mehrfach aktiv",IF(COUNTIF(Faesser!$A$2:$A$301,C34)=0,"FEHLER: Fassnummer unbekannt",IF(IFERROR(INDEX(Faesser!$B$2:$B$301,MATCH(C34,Faesser!$A$2:$A$301,0)),"")&lt;&gt;A34,"WARNUNG: Fass enthält anderes Produkt","OK"))))</f>
        <v/>
      </c>
      <c r="G34" s="7" t="n"/>
    </row>
    <row r="35">
      <c r="A35" s="7" t="n"/>
      <c r="B35" s="12">
        <f>IFERROR(INDEX(Produkte!$B$2:$B$301,MATCH(A35,Produkte!$A$2:$A$301,0)),"")</f>
        <v/>
      </c>
      <c r="C35" s="7" t="n"/>
      <c r="D35" s="18" t="n"/>
      <c r="E35" s="7" t="n"/>
      <c r="F35" s="12">
        <f>IF(A35="","",IF(COUNTIF($A$2:$A$301,A35)&gt;1,"FEHLER: Produkt mehrfach aktiv",IF(COUNTIF(Faesser!$A$2:$A$301,C35)=0,"FEHLER: Fassnummer unbekannt",IF(IFERROR(INDEX(Faesser!$B$2:$B$301,MATCH(C35,Faesser!$A$2:$A$301,0)),"")&lt;&gt;A35,"WARNUNG: Fass enthält anderes Produkt","OK"))))</f>
        <v/>
      </c>
      <c r="G35" s="7" t="n"/>
    </row>
    <row r="36">
      <c r="A36" s="7" t="n"/>
      <c r="B36" s="12">
        <f>IFERROR(INDEX(Produkte!$B$2:$B$301,MATCH(A36,Produkte!$A$2:$A$301,0)),"")</f>
        <v/>
      </c>
      <c r="C36" s="7" t="n"/>
      <c r="D36" s="18" t="n"/>
      <c r="E36" s="7" t="n"/>
      <c r="F36" s="12">
        <f>IF(A36="","",IF(COUNTIF($A$2:$A$301,A36)&gt;1,"FEHLER: Produkt mehrfach aktiv",IF(COUNTIF(Faesser!$A$2:$A$301,C36)=0,"FEHLER: Fassnummer unbekannt",IF(IFERROR(INDEX(Faesser!$B$2:$B$301,MATCH(C36,Faesser!$A$2:$A$301,0)),"")&lt;&gt;A36,"WARNUNG: Fass enthält anderes Produkt","OK"))))</f>
        <v/>
      </c>
      <c r="G36" s="7" t="n"/>
    </row>
    <row r="37">
      <c r="A37" s="7" t="n"/>
      <c r="B37" s="12">
        <f>IFERROR(INDEX(Produkte!$B$2:$B$301,MATCH(A37,Produkte!$A$2:$A$301,0)),"")</f>
        <v/>
      </c>
      <c r="C37" s="7" t="n"/>
      <c r="D37" s="18" t="n"/>
      <c r="E37" s="7" t="n"/>
      <c r="F37" s="12">
        <f>IF(A37="","",IF(COUNTIF($A$2:$A$301,A37)&gt;1,"FEHLER: Produkt mehrfach aktiv",IF(COUNTIF(Faesser!$A$2:$A$301,C37)=0,"FEHLER: Fassnummer unbekannt",IF(IFERROR(INDEX(Faesser!$B$2:$B$301,MATCH(C37,Faesser!$A$2:$A$301,0)),"")&lt;&gt;A37,"WARNUNG: Fass enthält anderes Produkt","OK"))))</f>
        <v/>
      </c>
      <c r="G37" s="7" t="n"/>
    </row>
    <row r="38">
      <c r="A38" s="7" t="n"/>
      <c r="B38" s="12">
        <f>IFERROR(INDEX(Produkte!$B$2:$B$301,MATCH(A38,Produkte!$A$2:$A$301,0)),"")</f>
        <v/>
      </c>
      <c r="C38" s="7" t="n"/>
      <c r="D38" s="18" t="n"/>
      <c r="E38" s="7" t="n"/>
      <c r="F38" s="12">
        <f>IF(A38="","",IF(COUNTIF($A$2:$A$301,A38)&gt;1,"FEHLER: Produkt mehrfach aktiv",IF(COUNTIF(Faesser!$A$2:$A$301,C38)=0,"FEHLER: Fassnummer unbekannt",IF(IFERROR(INDEX(Faesser!$B$2:$B$301,MATCH(C38,Faesser!$A$2:$A$301,0)),"")&lt;&gt;A38,"WARNUNG: Fass enthält anderes Produkt","OK"))))</f>
        <v/>
      </c>
      <c r="G38" s="7" t="n"/>
    </row>
    <row r="39">
      <c r="A39" s="7" t="n"/>
      <c r="B39" s="12">
        <f>IFERROR(INDEX(Produkte!$B$2:$B$301,MATCH(A39,Produkte!$A$2:$A$301,0)),"")</f>
        <v/>
      </c>
      <c r="C39" s="7" t="n"/>
      <c r="D39" s="18" t="n"/>
      <c r="E39" s="7" t="n"/>
      <c r="F39" s="12">
        <f>IF(A39="","",IF(COUNTIF($A$2:$A$301,A39)&gt;1,"FEHLER: Produkt mehrfach aktiv",IF(COUNTIF(Faesser!$A$2:$A$301,C39)=0,"FEHLER: Fassnummer unbekannt",IF(IFERROR(INDEX(Faesser!$B$2:$B$301,MATCH(C39,Faesser!$A$2:$A$301,0)),"")&lt;&gt;A39,"WARNUNG: Fass enthält anderes Produkt","OK"))))</f>
        <v/>
      </c>
      <c r="G39" s="7" t="n"/>
    </row>
    <row r="40">
      <c r="A40" s="7" t="n"/>
      <c r="B40" s="12">
        <f>IFERROR(INDEX(Produkte!$B$2:$B$301,MATCH(A40,Produkte!$A$2:$A$301,0)),"")</f>
        <v/>
      </c>
      <c r="C40" s="7" t="n"/>
      <c r="D40" s="18" t="n"/>
      <c r="E40" s="7" t="n"/>
      <c r="F40" s="12">
        <f>IF(A40="","",IF(COUNTIF($A$2:$A$301,A40)&gt;1,"FEHLER: Produkt mehrfach aktiv",IF(COUNTIF(Faesser!$A$2:$A$301,C40)=0,"FEHLER: Fassnummer unbekannt",IF(IFERROR(INDEX(Faesser!$B$2:$B$301,MATCH(C40,Faesser!$A$2:$A$301,0)),"")&lt;&gt;A40,"WARNUNG: Fass enthält anderes Produkt","OK"))))</f>
        <v/>
      </c>
      <c r="G40" s="7" t="n"/>
    </row>
    <row r="41">
      <c r="A41" s="7" t="n"/>
      <c r="B41" s="12">
        <f>IFERROR(INDEX(Produkte!$B$2:$B$301,MATCH(A41,Produkte!$A$2:$A$301,0)),"")</f>
        <v/>
      </c>
      <c r="C41" s="7" t="n"/>
      <c r="D41" s="18" t="n"/>
      <c r="E41" s="7" t="n"/>
      <c r="F41" s="12">
        <f>IF(A41="","",IF(COUNTIF($A$2:$A$301,A41)&gt;1,"FEHLER: Produkt mehrfach aktiv",IF(COUNTIF(Faesser!$A$2:$A$301,C41)=0,"FEHLER: Fassnummer unbekannt",IF(IFERROR(INDEX(Faesser!$B$2:$B$301,MATCH(C41,Faesser!$A$2:$A$301,0)),"")&lt;&gt;A41,"WARNUNG: Fass enthält anderes Produkt","OK"))))</f>
        <v/>
      </c>
      <c r="G41" s="7" t="n"/>
    </row>
    <row r="42">
      <c r="A42" s="7" t="n"/>
      <c r="B42" s="12">
        <f>IFERROR(INDEX(Produkte!$B$2:$B$301,MATCH(A42,Produkte!$A$2:$A$301,0)),"")</f>
        <v/>
      </c>
      <c r="C42" s="7" t="n"/>
      <c r="D42" s="18" t="n"/>
      <c r="E42" s="7" t="n"/>
      <c r="F42" s="12">
        <f>IF(A42="","",IF(COUNTIF($A$2:$A$301,A42)&gt;1,"FEHLER: Produkt mehrfach aktiv",IF(COUNTIF(Faesser!$A$2:$A$301,C42)=0,"FEHLER: Fassnummer unbekannt",IF(IFERROR(INDEX(Faesser!$B$2:$B$301,MATCH(C42,Faesser!$A$2:$A$301,0)),"")&lt;&gt;A42,"WARNUNG: Fass enthält anderes Produkt","OK"))))</f>
        <v/>
      </c>
      <c r="G42" s="7" t="n"/>
    </row>
    <row r="43">
      <c r="A43" s="7" t="n"/>
      <c r="B43" s="12">
        <f>IFERROR(INDEX(Produkte!$B$2:$B$301,MATCH(A43,Produkte!$A$2:$A$301,0)),"")</f>
        <v/>
      </c>
      <c r="C43" s="7" t="n"/>
      <c r="D43" s="18" t="n"/>
      <c r="E43" s="7" t="n"/>
      <c r="F43" s="12">
        <f>IF(A43="","",IF(COUNTIF($A$2:$A$301,A43)&gt;1,"FEHLER: Produkt mehrfach aktiv",IF(COUNTIF(Faesser!$A$2:$A$301,C43)=0,"FEHLER: Fassnummer unbekannt",IF(IFERROR(INDEX(Faesser!$B$2:$B$301,MATCH(C43,Faesser!$A$2:$A$301,0)),"")&lt;&gt;A43,"WARNUNG: Fass enthält anderes Produkt","OK"))))</f>
        <v/>
      </c>
      <c r="G43" s="7" t="n"/>
    </row>
    <row r="44">
      <c r="A44" s="7" t="n"/>
      <c r="B44" s="12">
        <f>IFERROR(INDEX(Produkte!$B$2:$B$301,MATCH(A44,Produkte!$A$2:$A$301,0)),"")</f>
        <v/>
      </c>
      <c r="C44" s="7" t="n"/>
      <c r="D44" s="18" t="n"/>
      <c r="E44" s="7" t="n"/>
      <c r="F44" s="12">
        <f>IF(A44="","",IF(COUNTIF($A$2:$A$301,A44)&gt;1,"FEHLER: Produkt mehrfach aktiv",IF(COUNTIF(Faesser!$A$2:$A$301,C44)=0,"FEHLER: Fassnummer unbekannt",IF(IFERROR(INDEX(Faesser!$B$2:$B$301,MATCH(C44,Faesser!$A$2:$A$301,0)),"")&lt;&gt;A44,"WARNUNG: Fass enthält anderes Produkt","OK"))))</f>
        <v/>
      </c>
      <c r="G44" s="7" t="n"/>
    </row>
    <row r="45">
      <c r="A45" s="7" t="n"/>
      <c r="B45" s="12">
        <f>IFERROR(INDEX(Produkte!$B$2:$B$301,MATCH(A45,Produkte!$A$2:$A$301,0)),"")</f>
        <v/>
      </c>
      <c r="C45" s="7" t="n"/>
      <c r="D45" s="18" t="n"/>
      <c r="E45" s="7" t="n"/>
      <c r="F45" s="12">
        <f>IF(A45="","",IF(COUNTIF($A$2:$A$301,A45)&gt;1,"FEHLER: Produkt mehrfach aktiv",IF(COUNTIF(Faesser!$A$2:$A$301,C45)=0,"FEHLER: Fassnummer unbekannt",IF(IFERROR(INDEX(Faesser!$B$2:$B$301,MATCH(C45,Faesser!$A$2:$A$301,0)),"")&lt;&gt;A45,"WARNUNG: Fass enthält anderes Produkt","OK"))))</f>
        <v/>
      </c>
      <c r="G45" s="7" t="n"/>
    </row>
    <row r="46">
      <c r="A46" s="7" t="n"/>
      <c r="B46" s="12">
        <f>IFERROR(INDEX(Produkte!$B$2:$B$301,MATCH(A46,Produkte!$A$2:$A$301,0)),"")</f>
        <v/>
      </c>
      <c r="C46" s="7" t="n"/>
      <c r="D46" s="18" t="n"/>
      <c r="E46" s="7" t="n"/>
      <c r="F46" s="12">
        <f>IF(A46="","",IF(COUNTIF($A$2:$A$301,A46)&gt;1,"FEHLER: Produkt mehrfach aktiv",IF(COUNTIF(Faesser!$A$2:$A$301,C46)=0,"FEHLER: Fassnummer unbekannt",IF(IFERROR(INDEX(Faesser!$B$2:$B$301,MATCH(C46,Faesser!$A$2:$A$301,0)),"")&lt;&gt;A46,"WARNUNG: Fass enthält anderes Produkt","OK"))))</f>
        <v/>
      </c>
      <c r="G46" s="7" t="n"/>
    </row>
    <row r="47">
      <c r="A47" s="7" t="n"/>
      <c r="B47" s="12">
        <f>IFERROR(INDEX(Produkte!$B$2:$B$301,MATCH(A47,Produkte!$A$2:$A$301,0)),"")</f>
        <v/>
      </c>
      <c r="C47" s="7" t="n"/>
      <c r="D47" s="18" t="n"/>
      <c r="E47" s="7" t="n"/>
      <c r="F47" s="12">
        <f>IF(A47="","",IF(COUNTIF($A$2:$A$301,A47)&gt;1,"FEHLER: Produkt mehrfach aktiv",IF(COUNTIF(Faesser!$A$2:$A$301,C47)=0,"FEHLER: Fassnummer unbekannt",IF(IFERROR(INDEX(Faesser!$B$2:$B$301,MATCH(C47,Faesser!$A$2:$A$301,0)),"")&lt;&gt;A47,"WARNUNG: Fass enthält anderes Produkt","OK"))))</f>
        <v/>
      </c>
      <c r="G47" s="7" t="n"/>
    </row>
    <row r="48">
      <c r="A48" s="7" t="n"/>
      <c r="B48" s="12">
        <f>IFERROR(INDEX(Produkte!$B$2:$B$301,MATCH(A48,Produkte!$A$2:$A$301,0)),"")</f>
        <v/>
      </c>
      <c r="C48" s="7" t="n"/>
      <c r="D48" s="18" t="n"/>
      <c r="E48" s="7" t="n"/>
      <c r="F48" s="12">
        <f>IF(A48="","",IF(COUNTIF($A$2:$A$301,A48)&gt;1,"FEHLER: Produkt mehrfach aktiv",IF(COUNTIF(Faesser!$A$2:$A$301,C48)=0,"FEHLER: Fassnummer unbekannt",IF(IFERROR(INDEX(Faesser!$B$2:$B$301,MATCH(C48,Faesser!$A$2:$A$301,0)),"")&lt;&gt;A48,"WARNUNG: Fass enthält anderes Produkt","OK"))))</f>
        <v/>
      </c>
      <c r="G48" s="7" t="n"/>
    </row>
    <row r="49">
      <c r="A49" s="7" t="n"/>
      <c r="B49" s="12">
        <f>IFERROR(INDEX(Produkte!$B$2:$B$301,MATCH(A49,Produkte!$A$2:$A$301,0)),"")</f>
        <v/>
      </c>
      <c r="C49" s="7" t="n"/>
      <c r="D49" s="18" t="n"/>
      <c r="E49" s="7" t="n"/>
      <c r="F49" s="12">
        <f>IF(A49="","",IF(COUNTIF($A$2:$A$301,A49)&gt;1,"FEHLER: Produkt mehrfach aktiv",IF(COUNTIF(Faesser!$A$2:$A$301,C49)=0,"FEHLER: Fassnummer unbekannt",IF(IFERROR(INDEX(Faesser!$B$2:$B$301,MATCH(C49,Faesser!$A$2:$A$301,0)),"")&lt;&gt;A49,"WARNUNG: Fass enthält anderes Produkt","OK"))))</f>
        <v/>
      </c>
      <c r="G49" s="7" t="n"/>
    </row>
    <row r="50">
      <c r="A50" s="7" t="n"/>
      <c r="B50" s="12">
        <f>IFERROR(INDEX(Produkte!$B$2:$B$301,MATCH(A50,Produkte!$A$2:$A$301,0)),"")</f>
        <v/>
      </c>
      <c r="C50" s="7" t="n"/>
      <c r="D50" s="18" t="n"/>
      <c r="E50" s="7" t="n"/>
      <c r="F50" s="12">
        <f>IF(A50="","",IF(COUNTIF($A$2:$A$301,A50)&gt;1,"FEHLER: Produkt mehrfach aktiv",IF(COUNTIF(Faesser!$A$2:$A$301,C50)=0,"FEHLER: Fassnummer unbekannt",IF(IFERROR(INDEX(Faesser!$B$2:$B$301,MATCH(C50,Faesser!$A$2:$A$301,0)),"")&lt;&gt;A50,"WARNUNG: Fass enthält anderes Produkt","OK"))))</f>
        <v/>
      </c>
      <c r="G50" s="7" t="n"/>
    </row>
    <row r="51">
      <c r="A51" s="7" t="n"/>
      <c r="B51" s="12">
        <f>IFERROR(INDEX(Produkte!$B$2:$B$301,MATCH(A51,Produkte!$A$2:$A$301,0)),"")</f>
        <v/>
      </c>
      <c r="C51" s="7" t="n"/>
      <c r="D51" s="18" t="n"/>
      <c r="E51" s="7" t="n"/>
      <c r="F51" s="12">
        <f>IF(A51="","",IF(COUNTIF($A$2:$A$301,A51)&gt;1,"FEHLER: Produkt mehrfach aktiv",IF(COUNTIF(Faesser!$A$2:$A$301,C51)=0,"FEHLER: Fassnummer unbekannt",IF(IFERROR(INDEX(Faesser!$B$2:$B$301,MATCH(C51,Faesser!$A$2:$A$301,0)),"")&lt;&gt;A51,"WARNUNG: Fass enthält anderes Produkt","OK"))))</f>
        <v/>
      </c>
      <c r="G51" s="7" t="n"/>
    </row>
    <row r="52">
      <c r="A52" s="7" t="n"/>
      <c r="B52" s="12">
        <f>IFERROR(INDEX(Produkte!$B$2:$B$301,MATCH(A52,Produkte!$A$2:$A$301,0)),"")</f>
        <v/>
      </c>
      <c r="C52" s="7" t="n"/>
      <c r="D52" s="18" t="n"/>
      <c r="E52" s="7" t="n"/>
      <c r="F52" s="12">
        <f>IF(A52="","",IF(COUNTIF($A$2:$A$301,A52)&gt;1,"FEHLER: Produkt mehrfach aktiv",IF(COUNTIF(Faesser!$A$2:$A$301,C52)=0,"FEHLER: Fassnummer unbekannt",IF(IFERROR(INDEX(Faesser!$B$2:$B$301,MATCH(C52,Faesser!$A$2:$A$301,0)),"")&lt;&gt;A52,"WARNUNG: Fass enthält anderes Produkt","OK"))))</f>
        <v/>
      </c>
      <c r="G52" s="7" t="n"/>
    </row>
    <row r="53">
      <c r="A53" s="7" t="n"/>
      <c r="B53" s="12">
        <f>IFERROR(INDEX(Produkte!$B$2:$B$301,MATCH(A53,Produkte!$A$2:$A$301,0)),"")</f>
        <v/>
      </c>
      <c r="C53" s="7" t="n"/>
      <c r="D53" s="18" t="n"/>
      <c r="E53" s="7" t="n"/>
      <c r="F53" s="12">
        <f>IF(A53="","",IF(COUNTIF($A$2:$A$301,A53)&gt;1,"FEHLER: Produkt mehrfach aktiv",IF(COUNTIF(Faesser!$A$2:$A$301,C53)=0,"FEHLER: Fassnummer unbekannt",IF(IFERROR(INDEX(Faesser!$B$2:$B$301,MATCH(C53,Faesser!$A$2:$A$301,0)),"")&lt;&gt;A53,"WARNUNG: Fass enthält anderes Produkt","OK"))))</f>
        <v/>
      </c>
      <c r="G53" s="7" t="n"/>
    </row>
    <row r="54">
      <c r="A54" s="7" t="n"/>
      <c r="B54" s="12">
        <f>IFERROR(INDEX(Produkte!$B$2:$B$301,MATCH(A54,Produkte!$A$2:$A$301,0)),"")</f>
        <v/>
      </c>
      <c r="C54" s="7" t="n"/>
      <c r="D54" s="18" t="n"/>
      <c r="E54" s="7" t="n"/>
      <c r="F54" s="12">
        <f>IF(A54="","",IF(COUNTIF($A$2:$A$301,A54)&gt;1,"FEHLER: Produkt mehrfach aktiv",IF(COUNTIF(Faesser!$A$2:$A$301,C54)=0,"FEHLER: Fassnummer unbekannt",IF(IFERROR(INDEX(Faesser!$B$2:$B$301,MATCH(C54,Faesser!$A$2:$A$301,0)),"")&lt;&gt;A54,"WARNUNG: Fass enthält anderes Produkt","OK"))))</f>
        <v/>
      </c>
      <c r="G54" s="7" t="n"/>
    </row>
    <row r="55">
      <c r="A55" s="7" t="n"/>
      <c r="B55" s="12">
        <f>IFERROR(INDEX(Produkte!$B$2:$B$301,MATCH(A55,Produkte!$A$2:$A$301,0)),"")</f>
        <v/>
      </c>
      <c r="C55" s="7" t="n"/>
      <c r="D55" s="18" t="n"/>
      <c r="E55" s="7" t="n"/>
      <c r="F55" s="12">
        <f>IF(A55="","",IF(COUNTIF($A$2:$A$301,A55)&gt;1,"FEHLER: Produkt mehrfach aktiv",IF(COUNTIF(Faesser!$A$2:$A$301,C55)=0,"FEHLER: Fassnummer unbekannt",IF(IFERROR(INDEX(Faesser!$B$2:$B$301,MATCH(C55,Faesser!$A$2:$A$301,0)),"")&lt;&gt;A55,"WARNUNG: Fass enthält anderes Produkt","OK"))))</f>
        <v/>
      </c>
      <c r="G55" s="7" t="n"/>
    </row>
    <row r="56">
      <c r="A56" s="7" t="n"/>
      <c r="B56" s="12">
        <f>IFERROR(INDEX(Produkte!$B$2:$B$301,MATCH(A56,Produkte!$A$2:$A$301,0)),"")</f>
        <v/>
      </c>
      <c r="C56" s="7" t="n"/>
      <c r="D56" s="18" t="n"/>
      <c r="E56" s="7" t="n"/>
      <c r="F56" s="12">
        <f>IF(A56="","",IF(COUNTIF($A$2:$A$301,A56)&gt;1,"FEHLER: Produkt mehrfach aktiv",IF(COUNTIF(Faesser!$A$2:$A$301,C56)=0,"FEHLER: Fassnummer unbekannt",IF(IFERROR(INDEX(Faesser!$B$2:$B$301,MATCH(C56,Faesser!$A$2:$A$301,0)),"")&lt;&gt;A56,"WARNUNG: Fass enthält anderes Produkt","OK"))))</f>
        <v/>
      </c>
      <c r="G56" s="7" t="n"/>
    </row>
    <row r="57">
      <c r="A57" s="7" t="n"/>
      <c r="B57" s="12">
        <f>IFERROR(INDEX(Produkte!$B$2:$B$301,MATCH(A57,Produkte!$A$2:$A$301,0)),"")</f>
        <v/>
      </c>
      <c r="C57" s="7" t="n"/>
      <c r="D57" s="18" t="n"/>
      <c r="E57" s="7" t="n"/>
      <c r="F57" s="12">
        <f>IF(A57="","",IF(COUNTIF($A$2:$A$301,A57)&gt;1,"FEHLER: Produkt mehrfach aktiv",IF(COUNTIF(Faesser!$A$2:$A$301,C57)=0,"FEHLER: Fassnummer unbekannt",IF(IFERROR(INDEX(Faesser!$B$2:$B$301,MATCH(C57,Faesser!$A$2:$A$301,0)),"")&lt;&gt;A57,"WARNUNG: Fass enthält anderes Produkt","OK"))))</f>
        <v/>
      </c>
      <c r="G57" s="7" t="n"/>
    </row>
    <row r="58">
      <c r="A58" s="7" t="n"/>
      <c r="B58" s="12">
        <f>IFERROR(INDEX(Produkte!$B$2:$B$301,MATCH(A58,Produkte!$A$2:$A$301,0)),"")</f>
        <v/>
      </c>
      <c r="C58" s="7" t="n"/>
      <c r="D58" s="18" t="n"/>
      <c r="E58" s="7" t="n"/>
      <c r="F58" s="12">
        <f>IF(A58="","",IF(COUNTIF($A$2:$A$301,A58)&gt;1,"FEHLER: Produkt mehrfach aktiv",IF(COUNTIF(Faesser!$A$2:$A$301,C58)=0,"FEHLER: Fassnummer unbekannt",IF(IFERROR(INDEX(Faesser!$B$2:$B$301,MATCH(C58,Faesser!$A$2:$A$301,0)),"")&lt;&gt;A58,"WARNUNG: Fass enthält anderes Produkt","OK"))))</f>
        <v/>
      </c>
      <c r="G58" s="7" t="n"/>
    </row>
    <row r="59">
      <c r="A59" s="7" t="n"/>
      <c r="B59" s="12">
        <f>IFERROR(INDEX(Produkte!$B$2:$B$301,MATCH(A59,Produkte!$A$2:$A$301,0)),"")</f>
        <v/>
      </c>
      <c r="C59" s="7" t="n"/>
      <c r="D59" s="18" t="n"/>
      <c r="E59" s="7" t="n"/>
      <c r="F59" s="12">
        <f>IF(A59="","",IF(COUNTIF($A$2:$A$301,A59)&gt;1,"FEHLER: Produkt mehrfach aktiv",IF(COUNTIF(Faesser!$A$2:$A$301,C59)=0,"FEHLER: Fassnummer unbekannt",IF(IFERROR(INDEX(Faesser!$B$2:$B$301,MATCH(C59,Faesser!$A$2:$A$301,0)),"")&lt;&gt;A59,"WARNUNG: Fass enthält anderes Produkt","OK"))))</f>
        <v/>
      </c>
      <c r="G59" s="7" t="n"/>
    </row>
    <row r="60">
      <c r="A60" s="7" t="n"/>
      <c r="B60" s="12">
        <f>IFERROR(INDEX(Produkte!$B$2:$B$301,MATCH(A60,Produkte!$A$2:$A$301,0)),"")</f>
        <v/>
      </c>
      <c r="C60" s="7" t="n"/>
      <c r="D60" s="18" t="n"/>
      <c r="E60" s="7" t="n"/>
      <c r="F60" s="12">
        <f>IF(A60="","",IF(COUNTIF($A$2:$A$301,A60)&gt;1,"FEHLER: Produkt mehrfach aktiv",IF(COUNTIF(Faesser!$A$2:$A$301,C60)=0,"FEHLER: Fassnummer unbekannt",IF(IFERROR(INDEX(Faesser!$B$2:$B$301,MATCH(C60,Faesser!$A$2:$A$301,0)),"")&lt;&gt;A60,"WARNUNG: Fass enthält anderes Produkt","OK"))))</f>
        <v/>
      </c>
      <c r="G60" s="7" t="n"/>
    </row>
    <row r="61">
      <c r="A61" s="7" t="n"/>
      <c r="B61" s="12">
        <f>IFERROR(INDEX(Produkte!$B$2:$B$301,MATCH(A61,Produkte!$A$2:$A$301,0)),"")</f>
        <v/>
      </c>
      <c r="C61" s="7" t="n"/>
      <c r="D61" s="18" t="n"/>
      <c r="E61" s="7" t="n"/>
      <c r="F61" s="12">
        <f>IF(A61="","",IF(COUNTIF($A$2:$A$301,A61)&gt;1,"FEHLER: Produkt mehrfach aktiv",IF(COUNTIF(Faesser!$A$2:$A$301,C61)=0,"FEHLER: Fassnummer unbekannt",IF(IFERROR(INDEX(Faesser!$B$2:$B$301,MATCH(C61,Faesser!$A$2:$A$301,0)),"")&lt;&gt;A61,"WARNUNG: Fass enthält anderes Produkt","OK"))))</f>
        <v/>
      </c>
      <c r="G61" s="7" t="n"/>
    </row>
    <row r="62">
      <c r="A62" s="7" t="n"/>
      <c r="B62" s="12">
        <f>IFERROR(INDEX(Produkte!$B$2:$B$301,MATCH(A62,Produkte!$A$2:$A$301,0)),"")</f>
        <v/>
      </c>
      <c r="C62" s="7" t="n"/>
      <c r="D62" s="18" t="n"/>
      <c r="E62" s="7" t="n"/>
      <c r="F62" s="12">
        <f>IF(A62="","",IF(COUNTIF($A$2:$A$301,A62)&gt;1,"FEHLER: Produkt mehrfach aktiv",IF(COUNTIF(Faesser!$A$2:$A$301,C62)=0,"FEHLER: Fassnummer unbekannt",IF(IFERROR(INDEX(Faesser!$B$2:$B$301,MATCH(C62,Faesser!$A$2:$A$301,0)),"")&lt;&gt;A62,"WARNUNG: Fass enthält anderes Produkt","OK"))))</f>
        <v/>
      </c>
      <c r="G62" s="7" t="n"/>
    </row>
    <row r="63">
      <c r="A63" s="7" t="n"/>
      <c r="B63" s="12">
        <f>IFERROR(INDEX(Produkte!$B$2:$B$301,MATCH(A63,Produkte!$A$2:$A$301,0)),"")</f>
        <v/>
      </c>
      <c r="C63" s="7" t="n"/>
      <c r="D63" s="18" t="n"/>
      <c r="E63" s="7" t="n"/>
      <c r="F63" s="12">
        <f>IF(A63="","",IF(COUNTIF($A$2:$A$301,A63)&gt;1,"FEHLER: Produkt mehrfach aktiv",IF(COUNTIF(Faesser!$A$2:$A$301,C63)=0,"FEHLER: Fassnummer unbekannt",IF(IFERROR(INDEX(Faesser!$B$2:$B$301,MATCH(C63,Faesser!$A$2:$A$301,0)),"")&lt;&gt;A63,"WARNUNG: Fass enthält anderes Produkt","OK"))))</f>
        <v/>
      </c>
      <c r="G63" s="7" t="n"/>
    </row>
    <row r="64">
      <c r="A64" s="7" t="n"/>
      <c r="B64" s="12">
        <f>IFERROR(INDEX(Produkte!$B$2:$B$301,MATCH(A64,Produkte!$A$2:$A$301,0)),"")</f>
        <v/>
      </c>
      <c r="C64" s="7" t="n"/>
      <c r="D64" s="18" t="n"/>
      <c r="E64" s="7" t="n"/>
      <c r="F64" s="12">
        <f>IF(A64="","",IF(COUNTIF($A$2:$A$301,A64)&gt;1,"FEHLER: Produkt mehrfach aktiv",IF(COUNTIF(Faesser!$A$2:$A$301,C64)=0,"FEHLER: Fassnummer unbekannt",IF(IFERROR(INDEX(Faesser!$B$2:$B$301,MATCH(C64,Faesser!$A$2:$A$301,0)),"")&lt;&gt;A64,"WARNUNG: Fass enthält anderes Produkt","OK"))))</f>
        <v/>
      </c>
      <c r="G64" s="7" t="n"/>
    </row>
    <row r="65">
      <c r="A65" s="7" t="n"/>
      <c r="B65" s="12">
        <f>IFERROR(INDEX(Produkte!$B$2:$B$301,MATCH(A65,Produkte!$A$2:$A$301,0)),"")</f>
        <v/>
      </c>
      <c r="C65" s="7" t="n"/>
      <c r="D65" s="18" t="n"/>
      <c r="E65" s="7" t="n"/>
      <c r="F65" s="12">
        <f>IF(A65="","",IF(COUNTIF($A$2:$A$301,A65)&gt;1,"FEHLER: Produkt mehrfach aktiv",IF(COUNTIF(Faesser!$A$2:$A$301,C65)=0,"FEHLER: Fassnummer unbekannt",IF(IFERROR(INDEX(Faesser!$B$2:$B$301,MATCH(C65,Faesser!$A$2:$A$301,0)),"")&lt;&gt;A65,"WARNUNG: Fass enthält anderes Produkt","OK"))))</f>
        <v/>
      </c>
      <c r="G65" s="7" t="n"/>
    </row>
    <row r="66">
      <c r="A66" s="7" t="n"/>
      <c r="B66" s="12">
        <f>IFERROR(INDEX(Produkte!$B$2:$B$301,MATCH(A66,Produkte!$A$2:$A$301,0)),"")</f>
        <v/>
      </c>
      <c r="C66" s="7" t="n"/>
      <c r="D66" s="18" t="n"/>
      <c r="E66" s="7" t="n"/>
      <c r="F66" s="12">
        <f>IF(A66="","",IF(COUNTIF($A$2:$A$301,A66)&gt;1,"FEHLER: Produkt mehrfach aktiv",IF(COUNTIF(Faesser!$A$2:$A$301,C66)=0,"FEHLER: Fassnummer unbekannt",IF(IFERROR(INDEX(Faesser!$B$2:$B$301,MATCH(C66,Faesser!$A$2:$A$301,0)),"")&lt;&gt;A66,"WARNUNG: Fass enthält anderes Produkt","OK"))))</f>
        <v/>
      </c>
      <c r="G66" s="7" t="n"/>
    </row>
    <row r="67">
      <c r="A67" s="7" t="n"/>
      <c r="B67" s="12">
        <f>IFERROR(INDEX(Produkte!$B$2:$B$301,MATCH(A67,Produkte!$A$2:$A$301,0)),"")</f>
        <v/>
      </c>
      <c r="C67" s="7" t="n"/>
      <c r="D67" s="18" t="n"/>
      <c r="E67" s="7" t="n"/>
      <c r="F67" s="12">
        <f>IF(A67="","",IF(COUNTIF($A$2:$A$301,A67)&gt;1,"FEHLER: Produkt mehrfach aktiv",IF(COUNTIF(Faesser!$A$2:$A$301,C67)=0,"FEHLER: Fassnummer unbekannt",IF(IFERROR(INDEX(Faesser!$B$2:$B$301,MATCH(C67,Faesser!$A$2:$A$301,0)),"")&lt;&gt;A67,"WARNUNG: Fass enthält anderes Produkt","OK"))))</f>
        <v/>
      </c>
      <c r="G67" s="7" t="n"/>
    </row>
    <row r="68">
      <c r="A68" s="7" t="n"/>
      <c r="B68" s="12">
        <f>IFERROR(INDEX(Produkte!$B$2:$B$301,MATCH(A68,Produkte!$A$2:$A$301,0)),"")</f>
        <v/>
      </c>
      <c r="C68" s="7" t="n"/>
      <c r="D68" s="18" t="n"/>
      <c r="E68" s="7" t="n"/>
      <c r="F68" s="12">
        <f>IF(A68="","",IF(COUNTIF($A$2:$A$301,A68)&gt;1,"FEHLER: Produkt mehrfach aktiv",IF(COUNTIF(Faesser!$A$2:$A$301,C68)=0,"FEHLER: Fassnummer unbekannt",IF(IFERROR(INDEX(Faesser!$B$2:$B$301,MATCH(C68,Faesser!$A$2:$A$301,0)),"")&lt;&gt;A68,"WARNUNG: Fass enthält anderes Produkt","OK"))))</f>
        <v/>
      </c>
      <c r="G68" s="7" t="n"/>
    </row>
    <row r="69">
      <c r="A69" s="7" t="n"/>
      <c r="B69" s="12">
        <f>IFERROR(INDEX(Produkte!$B$2:$B$301,MATCH(A69,Produkte!$A$2:$A$301,0)),"")</f>
        <v/>
      </c>
      <c r="C69" s="7" t="n"/>
      <c r="D69" s="18" t="n"/>
      <c r="E69" s="7" t="n"/>
      <c r="F69" s="12">
        <f>IF(A69="","",IF(COUNTIF($A$2:$A$301,A69)&gt;1,"FEHLER: Produkt mehrfach aktiv",IF(COUNTIF(Faesser!$A$2:$A$301,C69)=0,"FEHLER: Fassnummer unbekannt",IF(IFERROR(INDEX(Faesser!$B$2:$B$301,MATCH(C69,Faesser!$A$2:$A$301,0)),"")&lt;&gt;A69,"WARNUNG: Fass enthält anderes Produkt","OK"))))</f>
        <v/>
      </c>
      <c r="G69" s="7" t="n"/>
    </row>
    <row r="70">
      <c r="A70" s="7" t="n"/>
      <c r="B70" s="12">
        <f>IFERROR(INDEX(Produkte!$B$2:$B$301,MATCH(A70,Produkte!$A$2:$A$301,0)),"")</f>
        <v/>
      </c>
      <c r="C70" s="7" t="n"/>
      <c r="D70" s="18" t="n"/>
      <c r="E70" s="7" t="n"/>
      <c r="F70" s="12">
        <f>IF(A70="","",IF(COUNTIF($A$2:$A$301,A70)&gt;1,"FEHLER: Produkt mehrfach aktiv",IF(COUNTIF(Faesser!$A$2:$A$301,C70)=0,"FEHLER: Fassnummer unbekannt",IF(IFERROR(INDEX(Faesser!$B$2:$B$301,MATCH(C70,Faesser!$A$2:$A$301,0)),"")&lt;&gt;A70,"WARNUNG: Fass enthält anderes Produkt","OK"))))</f>
        <v/>
      </c>
      <c r="G70" s="7" t="n"/>
    </row>
    <row r="71">
      <c r="A71" s="7" t="n"/>
      <c r="B71" s="12">
        <f>IFERROR(INDEX(Produkte!$B$2:$B$301,MATCH(A71,Produkte!$A$2:$A$301,0)),"")</f>
        <v/>
      </c>
      <c r="C71" s="7" t="n"/>
      <c r="D71" s="18" t="n"/>
      <c r="E71" s="7" t="n"/>
      <c r="F71" s="12">
        <f>IF(A71="","",IF(COUNTIF($A$2:$A$301,A71)&gt;1,"FEHLER: Produkt mehrfach aktiv",IF(COUNTIF(Faesser!$A$2:$A$301,C71)=0,"FEHLER: Fassnummer unbekannt",IF(IFERROR(INDEX(Faesser!$B$2:$B$301,MATCH(C71,Faesser!$A$2:$A$301,0)),"")&lt;&gt;A71,"WARNUNG: Fass enthält anderes Produkt","OK"))))</f>
        <v/>
      </c>
      <c r="G71" s="7" t="n"/>
    </row>
    <row r="72">
      <c r="A72" s="7" t="n"/>
      <c r="B72" s="12">
        <f>IFERROR(INDEX(Produkte!$B$2:$B$301,MATCH(A72,Produkte!$A$2:$A$301,0)),"")</f>
        <v/>
      </c>
      <c r="C72" s="7" t="n"/>
      <c r="D72" s="18" t="n"/>
      <c r="E72" s="7" t="n"/>
      <c r="F72" s="12">
        <f>IF(A72="","",IF(COUNTIF($A$2:$A$301,A72)&gt;1,"FEHLER: Produkt mehrfach aktiv",IF(COUNTIF(Faesser!$A$2:$A$301,C72)=0,"FEHLER: Fassnummer unbekannt",IF(IFERROR(INDEX(Faesser!$B$2:$B$301,MATCH(C72,Faesser!$A$2:$A$301,0)),"")&lt;&gt;A72,"WARNUNG: Fass enthält anderes Produkt","OK"))))</f>
        <v/>
      </c>
      <c r="G72" s="7" t="n"/>
    </row>
    <row r="73">
      <c r="A73" s="7" t="n"/>
      <c r="B73" s="12">
        <f>IFERROR(INDEX(Produkte!$B$2:$B$301,MATCH(A73,Produkte!$A$2:$A$301,0)),"")</f>
        <v/>
      </c>
      <c r="C73" s="7" t="n"/>
      <c r="D73" s="18" t="n"/>
      <c r="E73" s="7" t="n"/>
      <c r="F73" s="12">
        <f>IF(A73="","",IF(COUNTIF($A$2:$A$301,A73)&gt;1,"FEHLER: Produkt mehrfach aktiv",IF(COUNTIF(Faesser!$A$2:$A$301,C73)=0,"FEHLER: Fassnummer unbekannt",IF(IFERROR(INDEX(Faesser!$B$2:$B$301,MATCH(C73,Faesser!$A$2:$A$301,0)),"")&lt;&gt;A73,"WARNUNG: Fass enthält anderes Produkt","OK"))))</f>
        <v/>
      </c>
      <c r="G73" s="7" t="n"/>
    </row>
    <row r="74">
      <c r="A74" s="7" t="n"/>
      <c r="B74" s="12">
        <f>IFERROR(INDEX(Produkte!$B$2:$B$301,MATCH(A74,Produkte!$A$2:$A$301,0)),"")</f>
        <v/>
      </c>
      <c r="C74" s="7" t="n"/>
      <c r="D74" s="18" t="n"/>
      <c r="E74" s="7" t="n"/>
      <c r="F74" s="12">
        <f>IF(A74="","",IF(COUNTIF($A$2:$A$301,A74)&gt;1,"FEHLER: Produkt mehrfach aktiv",IF(COUNTIF(Faesser!$A$2:$A$301,C74)=0,"FEHLER: Fassnummer unbekannt",IF(IFERROR(INDEX(Faesser!$B$2:$B$301,MATCH(C74,Faesser!$A$2:$A$301,0)),"")&lt;&gt;A74,"WARNUNG: Fass enthält anderes Produkt","OK"))))</f>
        <v/>
      </c>
      <c r="G74" s="7" t="n"/>
    </row>
    <row r="75">
      <c r="A75" s="7" t="n"/>
      <c r="B75" s="12">
        <f>IFERROR(INDEX(Produkte!$B$2:$B$301,MATCH(A75,Produkte!$A$2:$A$301,0)),"")</f>
        <v/>
      </c>
      <c r="C75" s="7" t="n"/>
      <c r="D75" s="18" t="n"/>
      <c r="E75" s="7" t="n"/>
      <c r="F75" s="12">
        <f>IF(A75="","",IF(COUNTIF($A$2:$A$301,A75)&gt;1,"FEHLER: Produkt mehrfach aktiv",IF(COUNTIF(Faesser!$A$2:$A$301,C75)=0,"FEHLER: Fassnummer unbekannt",IF(IFERROR(INDEX(Faesser!$B$2:$B$301,MATCH(C75,Faesser!$A$2:$A$301,0)),"")&lt;&gt;A75,"WARNUNG: Fass enthält anderes Produkt","OK"))))</f>
        <v/>
      </c>
      <c r="G75" s="7" t="n"/>
    </row>
    <row r="76">
      <c r="A76" s="7" t="n"/>
      <c r="B76" s="12">
        <f>IFERROR(INDEX(Produkte!$B$2:$B$301,MATCH(A76,Produkte!$A$2:$A$301,0)),"")</f>
        <v/>
      </c>
      <c r="C76" s="7" t="n"/>
      <c r="D76" s="18" t="n"/>
      <c r="E76" s="7" t="n"/>
      <c r="F76" s="12">
        <f>IF(A76="","",IF(COUNTIF($A$2:$A$301,A76)&gt;1,"FEHLER: Produkt mehrfach aktiv",IF(COUNTIF(Faesser!$A$2:$A$301,C76)=0,"FEHLER: Fassnummer unbekannt",IF(IFERROR(INDEX(Faesser!$B$2:$B$301,MATCH(C76,Faesser!$A$2:$A$301,0)),"")&lt;&gt;A76,"WARNUNG: Fass enthält anderes Produkt","OK"))))</f>
        <v/>
      </c>
      <c r="G76" s="7" t="n"/>
    </row>
    <row r="77">
      <c r="A77" s="7" t="n"/>
      <c r="B77" s="12">
        <f>IFERROR(INDEX(Produkte!$B$2:$B$301,MATCH(A77,Produkte!$A$2:$A$301,0)),"")</f>
        <v/>
      </c>
      <c r="C77" s="7" t="n"/>
      <c r="D77" s="18" t="n"/>
      <c r="E77" s="7" t="n"/>
      <c r="F77" s="12">
        <f>IF(A77="","",IF(COUNTIF($A$2:$A$301,A77)&gt;1,"FEHLER: Produkt mehrfach aktiv",IF(COUNTIF(Faesser!$A$2:$A$301,C77)=0,"FEHLER: Fassnummer unbekannt",IF(IFERROR(INDEX(Faesser!$B$2:$B$301,MATCH(C77,Faesser!$A$2:$A$301,0)),"")&lt;&gt;A77,"WARNUNG: Fass enthält anderes Produkt","OK"))))</f>
        <v/>
      </c>
      <c r="G77" s="7" t="n"/>
    </row>
    <row r="78">
      <c r="A78" s="7" t="n"/>
      <c r="B78" s="12">
        <f>IFERROR(INDEX(Produkte!$B$2:$B$301,MATCH(A78,Produkte!$A$2:$A$301,0)),"")</f>
        <v/>
      </c>
      <c r="C78" s="7" t="n"/>
      <c r="D78" s="18" t="n"/>
      <c r="E78" s="7" t="n"/>
      <c r="F78" s="12">
        <f>IF(A78="","",IF(COUNTIF($A$2:$A$301,A78)&gt;1,"FEHLER: Produkt mehrfach aktiv",IF(COUNTIF(Faesser!$A$2:$A$301,C78)=0,"FEHLER: Fassnummer unbekannt",IF(IFERROR(INDEX(Faesser!$B$2:$B$301,MATCH(C78,Faesser!$A$2:$A$301,0)),"")&lt;&gt;A78,"WARNUNG: Fass enthält anderes Produkt","OK"))))</f>
        <v/>
      </c>
      <c r="G78" s="7" t="n"/>
    </row>
    <row r="79">
      <c r="A79" s="7" t="n"/>
      <c r="B79" s="12">
        <f>IFERROR(INDEX(Produkte!$B$2:$B$301,MATCH(A79,Produkte!$A$2:$A$301,0)),"")</f>
        <v/>
      </c>
      <c r="C79" s="7" t="n"/>
      <c r="D79" s="18" t="n"/>
      <c r="E79" s="7" t="n"/>
      <c r="F79" s="12">
        <f>IF(A79="","",IF(COUNTIF($A$2:$A$301,A79)&gt;1,"FEHLER: Produkt mehrfach aktiv",IF(COUNTIF(Faesser!$A$2:$A$301,C79)=0,"FEHLER: Fassnummer unbekannt",IF(IFERROR(INDEX(Faesser!$B$2:$B$301,MATCH(C79,Faesser!$A$2:$A$301,0)),"")&lt;&gt;A79,"WARNUNG: Fass enthält anderes Produkt","OK"))))</f>
        <v/>
      </c>
      <c r="G79" s="7" t="n"/>
    </row>
    <row r="80">
      <c r="A80" s="7" t="n"/>
      <c r="B80" s="12">
        <f>IFERROR(INDEX(Produkte!$B$2:$B$301,MATCH(A80,Produkte!$A$2:$A$301,0)),"")</f>
        <v/>
      </c>
      <c r="C80" s="7" t="n"/>
      <c r="D80" s="18" t="n"/>
      <c r="E80" s="7" t="n"/>
      <c r="F80" s="12">
        <f>IF(A80="","",IF(COUNTIF($A$2:$A$301,A80)&gt;1,"FEHLER: Produkt mehrfach aktiv",IF(COUNTIF(Faesser!$A$2:$A$301,C80)=0,"FEHLER: Fassnummer unbekannt",IF(IFERROR(INDEX(Faesser!$B$2:$B$301,MATCH(C80,Faesser!$A$2:$A$301,0)),"")&lt;&gt;A80,"WARNUNG: Fass enthält anderes Produkt","OK"))))</f>
        <v/>
      </c>
      <c r="G80" s="7" t="n"/>
    </row>
    <row r="81">
      <c r="A81" s="7" t="n"/>
      <c r="B81" s="12">
        <f>IFERROR(INDEX(Produkte!$B$2:$B$301,MATCH(A81,Produkte!$A$2:$A$301,0)),"")</f>
        <v/>
      </c>
      <c r="C81" s="7" t="n"/>
      <c r="D81" s="18" t="n"/>
      <c r="E81" s="7" t="n"/>
      <c r="F81" s="12">
        <f>IF(A81="","",IF(COUNTIF($A$2:$A$301,A81)&gt;1,"FEHLER: Produkt mehrfach aktiv",IF(COUNTIF(Faesser!$A$2:$A$301,C81)=0,"FEHLER: Fassnummer unbekannt",IF(IFERROR(INDEX(Faesser!$B$2:$B$301,MATCH(C81,Faesser!$A$2:$A$301,0)),"")&lt;&gt;A81,"WARNUNG: Fass enthält anderes Produkt","OK"))))</f>
        <v/>
      </c>
      <c r="G81" s="7" t="n"/>
    </row>
    <row r="82">
      <c r="A82" s="7" t="n"/>
      <c r="B82" s="12">
        <f>IFERROR(INDEX(Produkte!$B$2:$B$301,MATCH(A82,Produkte!$A$2:$A$301,0)),"")</f>
        <v/>
      </c>
      <c r="C82" s="7" t="n"/>
      <c r="D82" s="18" t="n"/>
      <c r="E82" s="7" t="n"/>
      <c r="F82" s="12">
        <f>IF(A82="","",IF(COUNTIF($A$2:$A$301,A82)&gt;1,"FEHLER: Produkt mehrfach aktiv",IF(COUNTIF(Faesser!$A$2:$A$301,C82)=0,"FEHLER: Fassnummer unbekannt",IF(IFERROR(INDEX(Faesser!$B$2:$B$301,MATCH(C82,Faesser!$A$2:$A$301,0)),"")&lt;&gt;A82,"WARNUNG: Fass enthält anderes Produkt","OK"))))</f>
        <v/>
      </c>
      <c r="G82" s="7" t="n"/>
    </row>
    <row r="83">
      <c r="A83" s="7" t="n"/>
      <c r="B83" s="12">
        <f>IFERROR(INDEX(Produkte!$B$2:$B$301,MATCH(A83,Produkte!$A$2:$A$301,0)),"")</f>
        <v/>
      </c>
      <c r="C83" s="7" t="n"/>
      <c r="D83" s="18" t="n"/>
      <c r="E83" s="7" t="n"/>
      <c r="F83" s="12">
        <f>IF(A83="","",IF(COUNTIF($A$2:$A$301,A83)&gt;1,"FEHLER: Produkt mehrfach aktiv",IF(COUNTIF(Faesser!$A$2:$A$301,C83)=0,"FEHLER: Fassnummer unbekannt",IF(IFERROR(INDEX(Faesser!$B$2:$B$301,MATCH(C83,Faesser!$A$2:$A$301,0)),"")&lt;&gt;A83,"WARNUNG: Fass enthält anderes Produkt","OK"))))</f>
        <v/>
      </c>
      <c r="G83" s="7" t="n"/>
    </row>
    <row r="84">
      <c r="A84" s="7" t="n"/>
      <c r="B84" s="12">
        <f>IFERROR(INDEX(Produkte!$B$2:$B$301,MATCH(A84,Produkte!$A$2:$A$301,0)),"")</f>
        <v/>
      </c>
      <c r="C84" s="7" t="n"/>
      <c r="D84" s="18" t="n"/>
      <c r="E84" s="7" t="n"/>
      <c r="F84" s="12">
        <f>IF(A84="","",IF(COUNTIF($A$2:$A$301,A84)&gt;1,"FEHLER: Produkt mehrfach aktiv",IF(COUNTIF(Faesser!$A$2:$A$301,C84)=0,"FEHLER: Fassnummer unbekannt",IF(IFERROR(INDEX(Faesser!$B$2:$B$301,MATCH(C84,Faesser!$A$2:$A$301,0)),"")&lt;&gt;A84,"WARNUNG: Fass enthält anderes Produkt","OK"))))</f>
        <v/>
      </c>
      <c r="G84" s="7" t="n"/>
    </row>
    <row r="85">
      <c r="A85" s="7" t="n"/>
      <c r="B85" s="12">
        <f>IFERROR(INDEX(Produkte!$B$2:$B$301,MATCH(A85,Produkte!$A$2:$A$301,0)),"")</f>
        <v/>
      </c>
      <c r="C85" s="7" t="n"/>
      <c r="D85" s="18" t="n"/>
      <c r="E85" s="7" t="n"/>
      <c r="F85" s="12">
        <f>IF(A85="","",IF(COUNTIF($A$2:$A$301,A85)&gt;1,"FEHLER: Produkt mehrfach aktiv",IF(COUNTIF(Faesser!$A$2:$A$301,C85)=0,"FEHLER: Fassnummer unbekannt",IF(IFERROR(INDEX(Faesser!$B$2:$B$301,MATCH(C85,Faesser!$A$2:$A$301,0)),"")&lt;&gt;A85,"WARNUNG: Fass enthält anderes Produkt","OK"))))</f>
        <v/>
      </c>
      <c r="G85" s="7" t="n"/>
    </row>
    <row r="86">
      <c r="A86" s="7" t="n"/>
      <c r="B86" s="12">
        <f>IFERROR(INDEX(Produkte!$B$2:$B$301,MATCH(A86,Produkte!$A$2:$A$301,0)),"")</f>
        <v/>
      </c>
      <c r="C86" s="7" t="n"/>
      <c r="D86" s="18" t="n"/>
      <c r="E86" s="7" t="n"/>
      <c r="F86" s="12">
        <f>IF(A86="","",IF(COUNTIF($A$2:$A$301,A86)&gt;1,"FEHLER: Produkt mehrfach aktiv",IF(COUNTIF(Faesser!$A$2:$A$301,C86)=0,"FEHLER: Fassnummer unbekannt",IF(IFERROR(INDEX(Faesser!$B$2:$B$301,MATCH(C86,Faesser!$A$2:$A$301,0)),"")&lt;&gt;A86,"WARNUNG: Fass enthält anderes Produkt","OK"))))</f>
        <v/>
      </c>
      <c r="G86" s="7" t="n"/>
    </row>
    <row r="87">
      <c r="A87" s="7" t="n"/>
      <c r="B87" s="12">
        <f>IFERROR(INDEX(Produkte!$B$2:$B$301,MATCH(A87,Produkte!$A$2:$A$301,0)),"")</f>
        <v/>
      </c>
      <c r="C87" s="7" t="n"/>
      <c r="D87" s="18" t="n"/>
      <c r="E87" s="7" t="n"/>
      <c r="F87" s="12">
        <f>IF(A87="","",IF(COUNTIF($A$2:$A$301,A87)&gt;1,"FEHLER: Produkt mehrfach aktiv",IF(COUNTIF(Faesser!$A$2:$A$301,C87)=0,"FEHLER: Fassnummer unbekannt",IF(IFERROR(INDEX(Faesser!$B$2:$B$301,MATCH(C87,Faesser!$A$2:$A$301,0)),"")&lt;&gt;A87,"WARNUNG: Fass enthält anderes Produkt","OK"))))</f>
        <v/>
      </c>
      <c r="G87" s="7" t="n"/>
    </row>
    <row r="88">
      <c r="A88" s="7" t="n"/>
      <c r="B88" s="12">
        <f>IFERROR(INDEX(Produkte!$B$2:$B$301,MATCH(A88,Produkte!$A$2:$A$301,0)),"")</f>
        <v/>
      </c>
      <c r="C88" s="7" t="n"/>
      <c r="D88" s="18" t="n"/>
      <c r="E88" s="7" t="n"/>
      <c r="F88" s="12">
        <f>IF(A88="","",IF(COUNTIF($A$2:$A$301,A88)&gt;1,"FEHLER: Produkt mehrfach aktiv",IF(COUNTIF(Faesser!$A$2:$A$301,C88)=0,"FEHLER: Fassnummer unbekannt",IF(IFERROR(INDEX(Faesser!$B$2:$B$301,MATCH(C88,Faesser!$A$2:$A$301,0)),"")&lt;&gt;A88,"WARNUNG: Fass enthält anderes Produkt","OK"))))</f>
        <v/>
      </c>
      <c r="G88" s="7" t="n"/>
    </row>
    <row r="89">
      <c r="A89" s="7" t="n"/>
      <c r="B89" s="12">
        <f>IFERROR(INDEX(Produkte!$B$2:$B$301,MATCH(A89,Produkte!$A$2:$A$301,0)),"")</f>
        <v/>
      </c>
      <c r="C89" s="7" t="n"/>
      <c r="D89" s="18" t="n"/>
      <c r="E89" s="7" t="n"/>
      <c r="F89" s="12">
        <f>IF(A89="","",IF(COUNTIF($A$2:$A$301,A89)&gt;1,"FEHLER: Produkt mehrfach aktiv",IF(COUNTIF(Faesser!$A$2:$A$301,C89)=0,"FEHLER: Fassnummer unbekannt",IF(IFERROR(INDEX(Faesser!$B$2:$B$301,MATCH(C89,Faesser!$A$2:$A$301,0)),"")&lt;&gt;A89,"WARNUNG: Fass enthält anderes Produkt","OK"))))</f>
        <v/>
      </c>
      <c r="G89" s="7" t="n"/>
    </row>
    <row r="90">
      <c r="A90" s="7" t="n"/>
      <c r="B90" s="12">
        <f>IFERROR(INDEX(Produkte!$B$2:$B$301,MATCH(A90,Produkte!$A$2:$A$301,0)),"")</f>
        <v/>
      </c>
      <c r="C90" s="7" t="n"/>
      <c r="D90" s="18" t="n"/>
      <c r="E90" s="7" t="n"/>
      <c r="F90" s="12">
        <f>IF(A90="","",IF(COUNTIF($A$2:$A$301,A90)&gt;1,"FEHLER: Produkt mehrfach aktiv",IF(COUNTIF(Faesser!$A$2:$A$301,C90)=0,"FEHLER: Fassnummer unbekannt",IF(IFERROR(INDEX(Faesser!$B$2:$B$301,MATCH(C90,Faesser!$A$2:$A$301,0)),"")&lt;&gt;A90,"WARNUNG: Fass enthält anderes Produkt","OK"))))</f>
        <v/>
      </c>
      <c r="G90" s="7" t="n"/>
    </row>
    <row r="91">
      <c r="A91" s="7" t="n"/>
      <c r="B91" s="12">
        <f>IFERROR(INDEX(Produkte!$B$2:$B$301,MATCH(A91,Produkte!$A$2:$A$301,0)),"")</f>
        <v/>
      </c>
      <c r="C91" s="7" t="n"/>
      <c r="D91" s="18" t="n"/>
      <c r="E91" s="7" t="n"/>
      <c r="F91" s="12">
        <f>IF(A91="","",IF(COUNTIF($A$2:$A$301,A91)&gt;1,"FEHLER: Produkt mehrfach aktiv",IF(COUNTIF(Faesser!$A$2:$A$301,C91)=0,"FEHLER: Fassnummer unbekannt",IF(IFERROR(INDEX(Faesser!$B$2:$B$301,MATCH(C91,Faesser!$A$2:$A$301,0)),"")&lt;&gt;A91,"WARNUNG: Fass enthält anderes Produkt","OK"))))</f>
        <v/>
      </c>
      <c r="G91" s="7" t="n"/>
    </row>
    <row r="92">
      <c r="A92" s="7" t="n"/>
      <c r="B92" s="12">
        <f>IFERROR(INDEX(Produkte!$B$2:$B$301,MATCH(A92,Produkte!$A$2:$A$301,0)),"")</f>
        <v/>
      </c>
      <c r="C92" s="7" t="n"/>
      <c r="D92" s="18" t="n"/>
      <c r="E92" s="7" t="n"/>
      <c r="F92" s="12">
        <f>IF(A92="","",IF(COUNTIF($A$2:$A$301,A92)&gt;1,"FEHLER: Produkt mehrfach aktiv",IF(COUNTIF(Faesser!$A$2:$A$301,C92)=0,"FEHLER: Fassnummer unbekannt",IF(IFERROR(INDEX(Faesser!$B$2:$B$301,MATCH(C92,Faesser!$A$2:$A$301,0)),"")&lt;&gt;A92,"WARNUNG: Fass enthält anderes Produkt","OK"))))</f>
        <v/>
      </c>
      <c r="G92" s="7" t="n"/>
    </row>
    <row r="93">
      <c r="A93" s="7" t="n"/>
      <c r="B93" s="12">
        <f>IFERROR(INDEX(Produkte!$B$2:$B$301,MATCH(A93,Produkte!$A$2:$A$301,0)),"")</f>
        <v/>
      </c>
      <c r="C93" s="7" t="n"/>
      <c r="D93" s="18" t="n"/>
      <c r="E93" s="7" t="n"/>
      <c r="F93" s="12">
        <f>IF(A93="","",IF(COUNTIF($A$2:$A$301,A93)&gt;1,"FEHLER: Produkt mehrfach aktiv",IF(COUNTIF(Faesser!$A$2:$A$301,C93)=0,"FEHLER: Fassnummer unbekannt",IF(IFERROR(INDEX(Faesser!$B$2:$B$301,MATCH(C93,Faesser!$A$2:$A$301,0)),"")&lt;&gt;A93,"WARNUNG: Fass enthält anderes Produkt","OK"))))</f>
        <v/>
      </c>
      <c r="G93" s="7" t="n"/>
    </row>
    <row r="94">
      <c r="A94" s="7" t="n"/>
      <c r="B94" s="12">
        <f>IFERROR(INDEX(Produkte!$B$2:$B$301,MATCH(A94,Produkte!$A$2:$A$301,0)),"")</f>
        <v/>
      </c>
      <c r="C94" s="7" t="n"/>
      <c r="D94" s="18" t="n"/>
      <c r="E94" s="7" t="n"/>
      <c r="F94" s="12">
        <f>IF(A94="","",IF(COUNTIF($A$2:$A$301,A94)&gt;1,"FEHLER: Produkt mehrfach aktiv",IF(COUNTIF(Faesser!$A$2:$A$301,C94)=0,"FEHLER: Fassnummer unbekannt",IF(IFERROR(INDEX(Faesser!$B$2:$B$301,MATCH(C94,Faesser!$A$2:$A$301,0)),"")&lt;&gt;A94,"WARNUNG: Fass enthält anderes Produkt","OK"))))</f>
        <v/>
      </c>
      <c r="G94" s="7" t="n"/>
    </row>
    <row r="95">
      <c r="A95" s="7" t="n"/>
      <c r="B95" s="12">
        <f>IFERROR(INDEX(Produkte!$B$2:$B$301,MATCH(A95,Produkte!$A$2:$A$301,0)),"")</f>
        <v/>
      </c>
      <c r="C95" s="7" t="n"/>
      <c r="D95" s="18" t="n"/>
      <c r="E95" s="7" t="n"/>
      <c r="F95" s="12">
        <f>IF(A95="","",IF(COUNTIF($A$2:$A$301,A95)&gt;1,"FEHLER: Produkt mehrfach aktiv",IF(COUNTIF(Faesser!$A$2:$A$301,C95)=0,"FEHLER: Fassnummer unbekannt",IF(IFERROR(INDEX(Faesser!$B$2:$B$301,MATCH(C95,Faesser!$A$2:$A$301,0)),"")&lt;&gt;A95,"WARNUNG: Fass enthält anderes Produkt","OK"))))</f>
        <v/>
      </c>
      <c r="G95" s="7" t="n"/>
    </row>
    <row r="96">
      <c r="A96" s="7" t="n"/>
      <c r="B96" s="12">
        <f>IFERROR(INDEX(Produkte!$B$2:$B$301,MATCH(A96,Produkte!$A$2:$A$301,0)),"")</f>
        <v/>
      </c>
      <c r="C96" s="7" t="n"/>
      <c r="D96" s="18" t="n"/>
      <c r="E96" s="7" t="n"/>
      <c r="F96" s="12">
        <f>IF(A96="","",IF(COUNTIF($A$2:$A$301,A96)&gt;1,"FEHLER: Produkt mehrfach aktiv",IF(COUNTIF(Faesser!$A$2:$A$301,C96)=0,"FEHLER: Fassnummer unbekannt",IF(IFERROR(INDEX(Faesser!$B$2:$B$301,MATCH(C96,Faesser!$A$2:$A$301,0)),"")&lt;&gt;A96,"WARNUNG: Fass enthält anderes Produkt","OK"))))</f>
        <v/>
      </c>
      <c r="G96" s="7" t="n"/>
    </row>
    <row r="97">
      <c r="A97" s="7" t="n"/>
      <c r="B97" s="12">
        <f>IFERROR(INDEX(Produkte!$B$2:$B$301,MATCH(A97,Produkte!$A$2:$A$301,0)),"")</f>
        <v/>
      </c>
      <c r="C97" s="7" t="n"/>
      <c r="D97" s="18" t="n"/>
      <c r="E97" s="7" t="n"/>
      <c r="F97" s="12">
        <f>IF(A97="","",IF(COUNTIF($A$2:$A$301,A97)&gt;1,"FEHLER: Produkt mehrfach aktiv",IF(COUNTIF(Faesser!$A$2:$A$301,C97)=0,"FEHLER: Fassnummer unbekannt",IF(IFERROR(INDEX(Faesser!$B$2:$B$301,MATCH(C97,Faesser!$A$2:$A$301,0)),"")&lt;&gt;A97,"WARNUNG: Fass enthält anderes Produkt","OK"))))</f>
        <v/>
      </c>
      <c r="G97" s="7" t="n"/>
    </row>
    <row r="98">
      <c r="A98" s="7" t="n"/>
      <c r="B98" s="12">
        <f>IFERROR(INDEX(Produkte!$B$2:$B$301,MATCH(A98,Produkte!$A$2:$A$301,0)),"")</f>
        <v/>
      </c>
      <c r="C98" s="7" t="n"/>
      <c r="D98" s="18" t="n"/>
      <c r="E98" s="7" t="n"/>
      <c r="F98" s="12">
        <f>IF(A98="","",IF(COUNTIF($A$2:$A$301,A98)&gt;1,"FEHLER: Produkt mehrfach aktiv",IF(COUNTIF(Faesser!$A$2:$A$301,C98)=0,"FEHLER: Fassnummer unbekannt",IF(IFERROR(INDEX(Faesser!$B$2:$B$301,MATCH(C98,Faesser!$A$2:$A$301,0)),"")&lt;&gt;A98,"WARNUNG: Fass enthält anderes Produkt","OK"))))</f>
        <v/>
      </c>
      <c r="G98" s="7" t="n"/>
    </row>
    <row r="99">
      <c r="A99" s="7" t="n"/>
      <c r="B99" s="12">
        <f>IFERROR(INDEX(Produkte!$B$2:$B$301,MATCH(A99,Produkte!$A$2:$A$301,0)),"")</f>
        <v/>
      </c>
      <c r="C99" s="7" t="n"/>
      <c r="D99" s="18" t="n"/>
      <c r="E99" s="7" t="n"/>
      <c r="F99" s="12">
        <f>IF(A99="","",IF(COUNTIF($A$2:$A$301,A99)&gt;1,"FEHLER: Produkt mehrfach aktiv",IF(COUNTIF(Faesser!$A$2:$A$301,C99)=0,"FEHLER: Fassnummer unbekannt",IF(IFERROR(INDEX(Faesser!$B$2:$B$301,MATCH(C99,Faesser!$A$2:$A$301,0)),"")&lt;&gt;A99,"WARNUNG: Fass enthält anderes Produkt","OK"))))</f>
        <v/>
      </c>
      <c r="G99" s="7" t="n"/>
    </row>
    <row r="100">
      <c r="A100" s="7" t="n"/>
      <c r="B100" s="12">
        <f>IFERROR(INDEX(Produkte!$B$2:$B$301,MATCH(A100,Produkte!$A$2:$A$301,0)),"")</f>
        <v/>
      </c>
      <c r="C100" s="7" t="n"/>
      <c r="D100" s="18" t="n"/>
      <c r="E100" s="7" t="n"/>
      <c r="F100" s="12">
        <f>IF(A100="","",IF(COUNTIF($A$2:$A$301,A100)&gt;1,"FEHLER: Produkt mehrfach aktiv",IF(COUNTIF(Faesser!$A$2:$A$301,C100)=0,"FEHLER: Fassnummer unbekannt",IF(IFERROR(INDEX(Faesser!$B$2:$B$301,MATCH(C100,Faesser!$A$2:$A$301,0)),"")&lt;&gt;A100,"WARNUNG: Fass enthält anderes Produkt","OK"))))</f>
        <v/>
      </c>
      <c r="G100" s="7" t="n"/>
    </row>
    <row r="101">
      <c r="A101" s="7" t="n"/>
      <c r="B101" s="12">
        <f>IFERROR(INDEX(Produkte!$B$2:$B$301,MATCH(A101,Produkte!$A$2:$A$301,0)),"")</f>
        <v/>
      </c>
      <c r="C101" s="7" t="n"/>
      <c r="D101" s="18" t="n"/>
      <c r="E101" s="7" t="n"/>
      <c r="F101" s="12">
        <f>IF(A101="","",IF(COUNTIF($A$2:$A$301,A101)&gt;1,"FEHLER: Produkt mehrfach aktiv",IF(COUNTIF(Faesser!$A$2:$A$301,C101)=0,"FEHLER: Fassnummer unbekannt",IF(IFERROR(INDEX(Faesser!$B$2:$B$301,MATCH(C101,Faesser!$A$2:$A$301,0)),"")&lt;&gt;A101,"WARNUNG: Fass enthält anderes Produkt","OK"))))</f>
        <v/>
      </c>
      <c r="G101" s="7" t="n"/>
    </row>
    <row r="102">
      <c r="A102" s="7" t="n"/>
      <c r="B102" s="12">
        <f>IFERROR(INDEX(Produkte!$B$2:$B$301,MATCH(A102,Produkte!$A$2:$A$301,0)),"")</f>
        <v/>
      </c>
      <c r="C102" s="7" t="n"/>
      <c r="D102" s="18" t="n"/>
      <c r="E102" s="7" t="n"/>
      <c r="F102" s="12">
        <f>IF(A102="","",IF(COUNTIF($A$2:$A$301,A102)&gt;1,"FEHLER: Produkt mehrfach aktiv",IF(COUNTIF(Faesser!$A$2:$A$301,C102)=0,"FEHLER: Fassnummer unbekannt",IF(IFERROR(INDEX(Faesser!$B$2:$B$301,MATCH(C102,Faesser!$A$2:$A$301,0)),"")&lt;&gt;A102,"WARNUNG: Fass enthält anderes Produkt","OK"))))</f>
        <v/>
      </c>
      <c r="G102" s="7" t="n"/>
    </row>
    <row r="103">
      <c r="A103" s="7" t="n"/>
      <c r="B103" s="12">
        <f>IFERROR(INDEX(Produkte!$B$2:$B$301,MATCH(A103,Produkte!$A$2:$A$301,0)),"")</f>
        <v/>
      </c>
      <c r="C103" s="7" t="n"/>
      <c r="D103" s="18" t="n"/>
      <c r="E103" s="7" t="n"/>
      <c r="F103" s="12">
        <f>IF(A103="","",IF(COUNTIF($A$2:$A$301,A103)&gt;1,"FEHLER: Produkt mehrfach aktiv",IF(COUNTIF(Faesser!$A$2:$A$301,C103)=0,"FEHLER: Fassnummer unbekannt",IF(IFERROR(INDEX(Faesser!$B$2:$B$301,MATCH(C103,Faesser!$A$2:$A$301,0)),"")&lt;&gt;A103,"WARNUNG: Fass enthält anderes Produkt","OK"))))</f>
        <v/>
      </c>
      <c r="G103" s="7" t="n"/>
    </row>
    <row r="104">
      <c r="A104" s="7" t="n"/>
      <c r="B104" s="12">
        <f>IFERROR(INDEX(Produkte!$B$2:$B$301,MATCH(A104,Produkte!$A$2:$A$301,0)),"")</f>
        <v/>
      </c>
      <c r="C104" s="7" t="n"/>
      <c r="D104" s="18" t="n"/>
      <c r="E104" s="7" t="n"/>
      <c r="F104" s="12">
        <f>IF(A104="","",IF(COUNTIF($A$2:$A$301,A104)&gt;1,"FEHLER: Produkt mehrfach aktiv",IF(COUNTIF(Faesser!$A$2:$A$301,C104)=0,"FEHLER: Fassnummer unbekannt",IF(IFERROR(INDEX(Faesser!$B$2:$B$301,MATCH(C104,Faesser!$A$2:$A$301,0)),"")&lt;&gt;A104,"WARNUNG: Fass enthält anderes Produkt","OK"))))</f>
        <v/>
      </c>
      <c r="G104" s="7" t="n"/>
    </row>
    <row r="105">
      <c r="A105" s="7" t="n"/>
      <c r="B105" s="12">
        <f>IFERROR(INDEX(Produkte!$B$2:$B$301,MATCH(A105,Produkte!$A$2:$A$301,0)),"")</f>
        <v/>
      </c>
      <c r="C105" s="7" t="n"/>
      <c r="D105" s="18" t="n"/>
      <c r="E105" s="7" t="n"/>
      <c r="F105" s="12">
        <f>IF(A105="","",IF(COUNTIF($A$2:$A$301,A105)&gt;1,"FEHLER: Produkt mehrfach aktiv",IF(COUNTIF(Faesser!$A$2:$A$301,C105)=0,"FEHLER: Fassnummer unbekannt",IF(IFERROR(INDEX(Faesser!$B$2:$B$301,MATCH(C105,Faesser!$A$2:$A$301,0)),"")&lt;&gt;A105,"WARNUNG: Fass enthält anderes Produkt","OK"))))</f>
        <v/>
      </c>
      <c r="G105" s="7" t="n"/>
    </row>
    <row r="106">
      <c r="A106" s="7" t="n"/>
      <c r="B106" s="12">
        <f>IFERROR(INDEX(Produkte!$B$2:$B$301,MATCH(A106,Produkte!$A$2:$A$301,0)),"")</f>
        <v/>
      </c>
      <c r="C106" s="7" t="n"/>
      <c r="D106" s="18" t="n"/>
      <c r="E106" s="7" t="n"/>
      <c r="F106" s="12">
        <f>IF(A106="","",IF(COUNTIF($A$2:$A$301,A106)&gt;1,"FEHLER: Produkt mehrfach aktiv",IF(COUNTIF(Faesser!$A$2:$A$301,C106)=0,"FEHLER: Fassnummer unbekannt",IF(IFERROR(INDEX(Faesser!$B$2:$B$301,MATCH(C106,Faesser!$A$2:$A$301,0)),"")&lt;&gt;A106,"WARNUNG: Fass enthält anderes Produkt","OK"))))</f>
        <v/>
      </c>
      <c r="G106" s="7" t="n"/>
    </row>
    <row r="107">
      <c r="A107" s="7" t="n"/>
      <c r="B107" s="12">
        <f>IFERROR(INDEX(Produkte!$B$2:$B$301,MATCH(A107,Produkte!$A$2:$A$301,0)),"")</f>
        <v/>
      </c>
      <c r="C107" s="7" t="n"/>
      <c r="D107" s="18" t="n"/>
      <c r="E107" s="7" t="n"/>
      <c r="F107" s="12">
        <f>IF(A107="","",IF(COUNTIF($A$2:$A$301,A107)&gt;1,"FEHLER: Produkt mehrfach aktiv",IF(COUNTIF(Faesser!$A$2:$A$301,C107)=0,"FEHLER: Fassnummer unbekannt",IF(IFERROR(INDEX(Faesser!$B$2:$B$301,MATCH(C107,Faesser!$A$2:$A$301,0)),"")&lt;&gt;A107,"WARNUNG: Fass enthält anderes Produkt","OK"))))</f>
        <v/>
      </c>
      <c r="G107" s="7" t="n"/>
    </row>
    <row r="108">
      <c r="A108" s="7" t="n"/>
      <c r="B108" s="12">
        <f>IFERROR(INDEX(Produkte!$B$2:$B$301,MATCH(A108,Produkte!$A$2:$A$301,0)),"")</f>
        <v/>
      </c>
      <c r="C108" s="7" t="n"/>
      <c r="D108" s="18" t="n"/>
      <c r="E108" s="7" t="n"/>
      <c r="F108" s="12">
        <f>IF(A108="","",IF(COUNTIF($A$2:$A$301,A108)&gt;1,"FEHLER: Produkt mehrfach aktiv",IF(COUNTIF(Faesser!$A$2:$A$301,C108)=0,"FEHLER: Fassnummer unbekannt",IF(IFERROR(INDEX(Faesser!$B$2:$B$301,MATCH(C108,Faesser!$A$2:$A$301,0)),"")&lt;&gt;A108,"WARNUNG: Fass enthält anderes Produkt","OK"))))</f>
        <v/>
      </c>
      <c r="G108" s="7" t="n"/>
    </row>
    <row r="109">
      <c r="A109" s="7" t="n"/>
      <c r="B109" s="12">
        <f>IFERROR(INDEX(Produkte!$B$2:$B$301,MATCH(A109,Produkte!$A$2:$A$301,0)),"")</f>
        <v/>
      </c>
      <c r="C109" s="7" t="n"/>
      <c r="D109" s="18" t="n"/>
      <c r="E109" s="7" t="n"/>
      <c r="F109" s="12">
        <f>IF(A109="","",IF(COUNTIF($A$2:$A$301,A109)&gt;1,"FEHLER: Produkt mehrfach aktiv",IF(COUNTIF(Faesser!$A$2:$A$301,C109)=0,"FEHLER: Fassnummer unbekannt",IF(IFERROR(INDEX(Faesser!$B$2:$B$301,MATCH(C109,Faesser!$A$2:$A$301,0)),"")&lt;&gt;A109,"WARNUNG: Fass enthält anderes Produkt","OK"))))</f>
        <v/>
      </c>
      <c r="G109" s="7" t="n"/>
    </row>
    <row r="110">
      <c r="A110" s="7" t="n"/>
      <c r="B110" s="12">
        <f>IFERROR(INDEX(Produkte!$B$2:$B$301,MATCH(A110,Produkte!$A$2:$A$301,0)),"")</f>
        <v/>
      </c>
      <c r="C110" s="7" t="n"/>
      <c r="D110" s="18" t="n"/>
      <c r="E110" s="7" t="n"/>
      <c r="F110" s="12">
        <f>IF(A110="","",IF(COUNTIF($A$2:$A$301,A110)&gt;1,"FEHLER: Produkt mehrfach aktiv",IF(COUNTIF(Faesser!$A$2:$A$301,C110)=0,"FEHLER: Fassnummer unbekannt",IF(IFERROR(INDEX(Faesser!$B$2:$B$301,MATCH(C110,Faesser!$A$2:$A$301,0)),"")&lt;&gt;A110,"WARNUNG: Fass enthält anderes Produkt","OK"))))</f>
        <v/>
      </c>
      <c r="G110" s="7" t="n"/>
    </row>
    <row r="111">
      <c r="A111" s="7" t="n"/>
      <c r="B111" s="12">
        <f>IFERROR(INDEX(Produkte!$B$2:$B$301,MATCH(A111,Produkte!$A$2:$A$301,0)),"")</f>
        <v/>
      </c>
      <c r="C111" s="7" t="n"/>
      <c r="D111" s="18" t="n"/>
      <c r="E111" s="7" t="n"/>
      <c r="F111" s="12">
        <f>IF(A111="","",IF(COUNTIF($A$2:$A$301,A111)&gt;1,"FEHLER: Produkt mehrfach aktiv",IF(COUNTIF(Faesser!$A$2:$A$301,C111)=0,"FEHLER: Fassnummer unbekannt",IF(IFERROR(INDEX(Faesser!$B$2:$B$301,MATCH(C111,Faesser!$A$2:$A$301,0)),"")&lt;&gt;A111,"WARNUNG: Fass enthält anderes Produkt","OK"))))</f>
        <v/>
      </c>
      <c r="G111" s="7" t="n"/>
    </row>
    <row r="112">
      <c r="A112" s="7" t="n"/>
      <c r="B112" s="12">
        <f>IFERROR(INDEX(Produkte!$B$2:$B$301,MATCH(A112,Produkte!$A$2:$A$301,0)),"")</f>
        <v/>
      </c>
      <c r="C112" s="7" t="n"/>
      <c r="D112" s="18" t="n"/>
      <c r="E112" s="7" t="n"/>
      <c r="F112" s="12">
        <f>IF(A112="","",IF(COUNTIF($A$2:$A$301,A112)&gt;1,"FEHLER: Produkt mehrfach aktiv",IF(COUNTIF(Faesser!$A$2:$A$301,C112)=0,"FEHLER: Fassnummer unbekannt",IF(IFERROR(INDEX(Faesser!$B$2:$B$301,MATCH(C112,Faesser!$A$2:$A$301,0)),"")&lt;&gt;A112,"WARNUNG: Fass enthält anderes Produkt","OK"))))</f>
        <v/>
      </c>
      <c r="G112" s="7" t="n"/>
    </row>
    <row r="113">
      <c r="A113" s="7" t="n"/>
      <c r="B113" s="12">
        <f>IFERROR(INDEX(Produkte!$B$2:$B$301,MATCH(A113,Produkte!$A$2:$A$301,0)),"")</f>
        <v/>
      </c>
      <c r="C113" s="7" t="n"/>
      <c r="D113" s="18" t="n"/>
      <c r="E113" s="7" t="n"/>
      <c r="F113" s="12">
        <f>IF(A113="","",IF(COUNTIF($A$2:$A$301,A113)&gt;1,"FEHLER: Produkt mehrfach aktiv",IF(COUNTIF(Faesser!$A$2:$A$301,C113)=0,"FEHLER: Fassnummer unbekannt",IF(IFERROR(INDEX(Faesser!$B$2:$B$301,MATCH(C113,Faesser!$A$2:$A$301,0)),"")&lt;&gt;A113,"WARNUNG: Fass enthält anderes Produkt","OK"))))</f>
        <v/>
      </c>
      <c r="G113" s="7" t="n"/>
    </row>
    <row r="114">
      <c r="A114" s="7" t="n"/>
      <c r="B114" s="12">
        <f>IFERROR(INDEX(Produkte!$B$2:$B$301,MATCH(A114,Produkte!$A$2:$A$301,0)),"")</f>
        <v/>
      </c>
      <c r="C114" s="7" t="n"/>
      <c r="D114" s="18" t="n"/>
      <c r="E114" s="7" t="n"/>
      <c r="F114" s="12">
        <f>IF(A114="","",IF(COUNTIF($A$2:$A$301,A114)&gt;1,"FEHLER: Produkt mehrfach aktiv",IF(COUNTIF(Faesser!$A$2:$A$301,C114)=0,"FEHLER: Fassnummer unbekannt",IF(IFERROR(INDEX(Faesser!$B$2:$B$301,MATCH(C114,Faesser!$A$2:$A$301,0)),"")&lt;&gt;A114,"WARNUNG: Fass enthält anderes Produkt","OK"))))</f>
        <v/>
      </c>
      <c r="G114" s="7" t="n"/>
    </row>
    <row r="115">
      <c r="A115" s="7" t="n"/>
      <c r="B115" s="12">
        <f>IFERROR(INDEX(Produkte!$B$2:$B$301,MATCH(A115,Produkte!$A$2:$A$301,0)),"")</f>
        <v/>
      </c>
      <c r="C115" s="7" t="n"/>
      <c r="D115" s="18" t="n"/>
      <c r="E115" s="7" t="n"/>
      <c r="F115" s="12">
        <f>IF(A115="","",IF(COUNTIF($A$2:$A$301,A115)&gt;1,"FEHLER: Produkt mehrfach aktiv",IF(COUNTIF(Faesser!$A$2:$A$301,C115)=0,"FEHLER: Fassnummer unbekannt",IF(IFERROR(INDEX(Faesser!$B$2:$B$301,MATCH(C115,Faesser!$A$2:$A$301,0)),"")&lt;&gt;A115,"WARNUNG: Fass enthält anderes Produkt","OK"))))</f>
        <v/>
      </c>
      <c r="G115" s="7" t="n"/>
    </row>
    <row r="116">
      <c r="A116" s="7" t="n"/>
      <c r="B116" s="12">
        <f>IFERROR(INDEX(Produkte!$B$2:$B$301,MATCH(A116,Produkte!$A$2:$A$301,0)),"")</f>
        <v/>
      </c>
      <c r="C116" s="7" t="n"/>
      <c r="D116" s="18" t="n"/>
      <c r="E116" s="7" t="n"/>
      <c r="F116" s="12">
        <f>IF(A116="","",IF(COUNTIF($A$2:$A$301,A116)&gt;1,"FEHLER: Produkt mehrfach aktiv",IF(COUNTIF(Faesser!$A$2:$A$301,C116)=0,"FEHLER: Fassnummer unbekannt",IF(IFERROR(INDEX(Faesser!$B$2:$B$301,MATCH(C116,Faesser!$A$2:$A$301,0)),"")&lt;&gt;A116,"WARNUNG: Fass enthält anderes Produkt","OK"))))</f>
        <v/>
      </c>
      <c r="G116" s="7" t="n"/>
    </row>
    <row r="117">
      <c r="A117" s="7" t="n"/>
      <c r="B117" s="12">
        <f>IFERROR(INDEX(Produkte!$B$2:$B$301,MATCH(A117,Produkte!$A$2:$A$301,0)),"")</f>
        <v/>
      </c>
      <c r="C117" s="7" t="n"/>
      <c r="D117" s="18" t="n"/>
      <c r="E117" s="7" t="n"/>
      <c r="F117" s="12">
        <f>IF(A117="","",IF(COUNTIF($A$2:$A$301,A117)&gt;1,"FEHLER: Produkt mehrfach aktiv",IF(COUNTIF(Faesser!$A$2:$A$301,C117)=0,"FEHLER: Fassnummer unbekannt",IF(IFERROR(INDEX(Faesser!$B$2:$B$301,MATCH(C117,Faesser!$A$2:$A$301,0)),"")&lt;&gt;A117,"WARNUNG: Fass enthält anderes Produkt","OK"))))</f>
        <v/>
      </c>
      <c r="G117" s="7" t="n"/>
    </row>
    <row r="118">
      <c r="A118" s="7" t="n"/>
      <c r="B118" s="12">
        <f>IFERROR(INDEX(Produkte!$B$2:$B$301,MATCH(A118,Produkte!$A$2:$A$301,0)),"")</f>
        <v/>
      </c>
      <c r="C118" s="7" t="n"/>
      <c r="D118" s="18" t="n"/>
      <c r="E118" s="7" t="n"/>
      <c r="F118" s="12">
        <f>IF(A118="","",IF(COUNTIF($A$2:$A$301,A118)&gt;1,"FEHLER: Produkt mehrfach aktiv",IF(COUNTIF(Faesser!$A$2:$A$301,C118)=0,"FEHLER: Fassnummer unbekannt",IF(IFERROR(INDEX(Faesser!$B$2:$B$301,MATCH(C118,Faesser!$A$2:$A$301,0)),"")&lt;&gt;A118,"WARNUNG: Fass enthält anderes Produkt","OK"))))</f>
        <v/>
      </c>
      <c r="G118" s="7" t="n"/>
    </row>
    <row r="119">
      <c r="A119" s="7" t="n"/>
      <c r="B119" s="12">
        <f>IFERROR(INDEX(Produkte!$B$2:$B$301,MATCH(A119,Produkte!$A$2:$A$301,0)),"")</f>
        <v/>
      </c>
      <c r="C119" s="7" t="n"/>
      <c r="D119" s="18" t="n"/>
      <c r="E119" s="7" t="n"/>
      <c r="F119" s="12">
        <f>IF(A119="","",IF(COUNTIF($A$2:$A$301,A119)&gt;1,"FEHLER: Produkt mehrfach aktiv",IF(COUNTIF(Faesser!$A$2:$A$301,C119)=0,"FEHLER: Fassnummer unbekannt",IF(IFERROR(INDEX(Faesser!$B$2:$B$301,MATCH(C119,Faesser!$A$2:$A$301,0)),"")&lt;&gt;A119,"WARNUNG: Fass enthält anderes Produkt","OK"))))</f>
        <v/>
      </c>
      <c r="G119" s="7" t="n"/>
    </row>
    <row r="120">
      <c r="A120" s="7" t="n"/>
      <c r="B120" s="12">
        <f>IFERROR(INDEX(Produkte!$B$2:$B$301,MATCH(A120,Produkte!$A$2:$A$301,0)),"")</f>
        <v/>
      </c>
      <c r="C120" s="7" t="n"/>
      <c r="D120" s="18" t="n"/>
      <c r="E120" s="7" t="n"/>
      <c r="F120" s="12">
        <f>IF(A120="","",IF(COUNTIF($A$2:$A$301,A120)&gt;1,"FEHLER: Produkt mehrfach aktiv",IF(COUNTIF(Faesser!$A$2:$A$301,C120)=0,"FEHLER: Fassnummer unbekannt",IF(IFERROR(INDEX(Faesser!$B$2:$B$301,MATCH(C120,Faesser!$A$2:$A$301,0)),"")&lt;&gt;A120,"WARNUNG: Fass enthält anderes Produkt","OK"))))</f>
        <v/>
      </c>
      <c r="G120" s="7" t="n"/>
    </row>
    <row r="121">
      <c r="A121" s="7" t="n"/>
      <c r="B121" s="12">
        <f>IFERROR(INDEX(Produkte!$B$2:$B$301,MATCH(A121,Produkte!$A$2:$A$301,0)),"")</f>
        <v/>
      </c>
      <c r="C121" s="7" t="n"/>
      <c r="D121" s="18" t="n"/>
      <c r="E121" s="7" t="n"/>
      <c r="F121" s="12">
        <f>IF(A121="","",IF(COUNTIF($A$2:$A$301,A121)&gt;1,"FEHLER: Produkt mehrfach aktiv",IF(COUNTIF(Faesser!$A$2:$A$301,C121)=0,"FEHLER: Fassnummer unbekannt",IF(IFERROR(INDEX(Faesser!$B$2:$B$301,MATCH(C121,Faesser!$A$2:$A$301,0)),"")&lt;&gt;A121,"WARNUNG: Fass enthält anderes Produkt","OK"))))</f>
        <v/>
      </c>
      <c r="G121" s="7" t="n"/>
    </row>
    <row r="122">
      <c r="A122" s="7" t="n"/>
      <c r="B122" s="12">
        <f>IFERROR(INDEX(Produkte!$B$2:$B$301,MATCH(A122,Produkte!$A$2:$A$301,0)),"")</f>
        <v/>
      </c>
      <c r="C122" s="7" t="n"/>
      <c r="D122" s="18" t="n"/>
      <c r="E122" s="7" t="n"/>
      <c r="F122" s="12">
        <f>IF(A122="","",IF(COUNTIF($A$2:$A$301,A122)&gt;1,"FEHLER: Produkt mehrfach aktiv",IF(COUNTIF(Faesser!$A$2:$A$301,C122)=0,"FEHLER: Fassnummer unbekannt",IF(IFERROR(INDEX(Faesser!$B$2:$B$301,MATCH(C122,Faesser!$A$2:$A$301,0)),"")&lt;&gt;A122,"WARNUNG: Fass enthält anderes Produkt","OK"))))</f>
        <v/>
      </c>
      <c r="G122" s="7" t="n"/>
    </row>
    <row r="123">
      <c r="A123" s="7" t="n"/>
      <c r="B123" s="12">
        <f>IFERROR(INDEX(Produkte!$B$2:$B$301,MATCH(A123,Produkte!$A$2:$A$301,0)),"")</f>
        <v/>
      </c>
      <c r="C123" s="7" t="n"/>
      <c r="D123" s="18" t="n"/>
      <c r="E123" s="7" t="n"/>
      <c r="F123" s="12">
        <f>IF(A123="","",IF(COUNTIF($A$2:$A$301,A123)&gt;1,"FEHLER: Produkt mehrfach aktiv",IF(COUNTIF(Faesser!$A$2:$A$301,C123)=0,"FEHLER: Fassnummer unbekannt",IF(IFERROR(INDEX(Faesser!$B$2:$B$301,MATCH(C123,Faesser!$A$2:$A$301,0)),"")&lt;&gt;A123,"WARNUNG: Fass enthält anderes Produkt","OK"))))</f>
        <v/>
      </c>
      <c r="G123" s="7" t="n"/>
    </row>
    <row r="124">
      <c r="A124" s="7" t="n"/>
      <c r="B124" s="12">
        <f>IFERROR(INDEX(Produkte!$B$2:$B$301,MATCH(A124,Produkte!$A$2:$A$301,0)),"")</f>
        <v/>
      </c>
      <c r="C124" s="7" t="n"/>
      <c r="D124" s="18" t="n"/>
      <c r="E124" s="7" t="n"/>
      <c r="F124" s="12">
        <f>IF(A124="","",IF(COUNTIF($A$2:$A$301,A124)&gt;1,"FEHLER: Produkt mehrfach aktiv",IF(COUNTIF(Faesser!$A$2:$A$301,C124)=0,"FEHLER: Fassnummer unbekannt",IF(IFERROR(INDEX(Faesser!$B$2:$B$301,MATCH(C124,Faesser!$A$2:$A$301,0)),"")&lt;&gt;A124,"WARNUNG: Fass enthält anderes Produkt","OK"))))</f>
        <v/>
      </c>
      <c r="G124" s="7" t="n"/>
    </row>
    <row r="125">
      <c r="A125" s="7" t="n"/>
      <c r="B125" s="12">
        <f>IFERROR(INDEX(Produkte!$B$2:$B$301,MATCH(A125,Produkte!$A$2:$A$301,0)),"")</f>
        <v/>
      </c>
      <c r="C125" s="7" t="n"/>
      <c r="D125" s="18" t="n"/>
      <c r="E125" s="7" t="n"/>
      <c r="F125" s="12">
        <f>IF(A125="","",IF(COUNTIF($A$2:$A$301,A125)&gt;1,"FEHLER: Produkt mehrfach aktiv",IF(COUNTIF(Faesser!$A$2:$A$301,C125)=0,"FEHLER: Fassnummer unbekannt",IF(IFERROR(INDEX(Faesser!$B$2:$B$301,MATCH(C125,Faesser!$A$2:$A$301,0)),"")&lt;&gt;A125,"WARNUNG: Fass enthält anderes Produkt","OK"))))</f>
        <v/>
      </c>
      <c r="G125" s="7" t="n"/>
    </row>
    <row r="126">
      <c r="A126" s="7" t="n"/>
      <c r="B126" s="12">
        <f>IFERROR(INDEX(Produkte!$B$2:$B$301,MATCH(A126,Produkte!$A$2:$A$301,0)),"")</f>
        <v/>
      </c>
      <c r="C126" s="7" t="n"/>
      <c r="D126" s="18" t="n"/>
      <c r="E126" s="7" t="n"/>
      <c r="F126" s="12">
        <f>IF(A126="","",IF(COUNTIF($A$2:$A$301,A126)&gt;1,"FEHLER: Produkt mehrfach aktiv",IF(COUNTIF(Faesser!$A$2:$A$301,C126)=0,"FEHLER: Fassnummer unbekannt",IF(IFERROR(INDEX(Faesser!$B$2:$B$301,MATCH(C126,Faesser!$A$2:$A$301,0)),"")&lt;&gt;A126,"WARNUNG: Fass enthält anderes Produkt","OK"))))</f>
        <v/>
      </c>
      <c r="G126" s="7" t="n"/>
    </row>
    <row r="127">
      <c r="A127" s="7" t="n"/>
      <c r="B127" s="12">
        <f>IFERROR(INDEX(Produkte!$B$2:$B$301,MATCH(A127,Produkte!$A$2:$A$301,0)),"")</f>
        <v/>
      </c>
      <c r="C127" s="7" t="n"/>
      <c r="D127" s="18" t="n"/>
      <c r="E127" s="7" t="n"/>
      <c r="F127" s="12">
        <f>IF(A127="","",IF(COUNTIF($A$2:$A$301,A127)&gt;1,"FEHLER: Produkt mehrfach aktiv",IF(COUNTIF(Faesser!$A$2:$A$301,C127)=0,"FEHLER: Fassnummer unbekannt",IF(IFERROR(INDEX(Faesser!$B$2:$B$301,MATCH(C127,Faesser!$A$2:$A$301,0)),"")&lt;&gt;A127,"WARNUNG: Fass enthält anderes Produkt","OK"))))</f>
        <v/>
      </c>
      <c r="G127" s="7" t="n"/>
    </row>
    <row r="128">
      <c r="A128" s="7" t="n"/>
      <c r="B128" s="12">
        <f>IFERROR(INDEX(Produkte!$B$2:$B$301,MATCH(A128,Produkte!$A$2:$A$301,0)),"")</f>
        <v/>
      </c>
      <c r="C128" s="7" t="n"/>
      <c r="D128" s="18" t="n"/>
      <c r="E128" s="7" t="n"/>
      <c r="F128" s="12">
        <f>IF(A128="","",IF(COUNTIF($A$2:$A$301,A128)&gt;1,"FEHLER: Produkt mehrfach aktiv",IF(COUNTIF(Faesser!$A$2:$A$301,C128)=0,"FEHLER: Fassnummer unbekannt",IF(IFERROR(INDEX(Faesser!$B$2:$B$301,MATCH(C128,Faesser!$A$2:$A$301,0)),"")&lt;&gt;A128,"WARNUNG: Fass enthält anderes Produkt","OK"))))</f>
        <v/>
      </c>
      <c r="G128" s="7" t="n"/>
    </row>
    <row r="129">
      <c r="A129" s="7" t="n"/>
      <c r="B129" s="12">
        <f>IFERROR(INDEX(Produkte!$B$2:$B$301,MATCH(A129,Produkte!$A$2:$A$301,0)),"")</f>
        <v/>
      </c>
      <c r="C129" s="7" t="n"/>
      <c r="D129" s="18" t="n"/>
      <c r="E129" s="7" t="n"/>
      <c r="F129" s="12">
        <f>IF(A129="","",IF(COUNTIF($A$2:$A$301,A129)&gt;1,"FEHLER: Produkt mehrfach aktiv",IF(COUNTIF(Faesser!$A$2:$A$301,C129)=0,"FEHLER: Fassnummer unbekannt",IF(IFERROR(INDEX(Faesser!$B$2:$B$301,MATCH(C129,Faesser!$A$2:$A$301,0)),"")&lt;&gt;A129,"WARNUNG: Fass enthält anderes Produkt","OK"))))</f>
        <v/>
      </c>
      <c r="G129" s="7" t="n"/>
    </row>
    <row r="130">
      <c r="A130" s="7" t="n"/>
      <c r="B130" s="12">
        <f>IFERROR(INDEX(Produkte!$B$2:$B$301,MATCH(A130,Produkte!$A$2:$A$301,0)),"")</f>
        <v/>
      </c>
      <c r="C130" s="7" t="n"/>
      <c r="D130" s="18" t="n"/>
      <c r="E130" s="7" t="n"/>
      <c r="F130" s="12">
        <f>IF(A130="","",IF(COUNTIF($A$2:$A$301,A130)&gt;1,"FEHLER: Produkt mehrfach aktiv",IF(COUNTIF(Faesser!$A$2:$A$301,C130)=0,"FEHLER: Fassnummer unbekannt",IF(IFERROR(INDEX(Faesser!$B$2:$B$301,MATCH(C130,Faesser!$A$2:$A$301,0)),"")&lt;&gt;A130,"WARNUNG: Fass enthält anderes Produkt","OK"))))</f>
        <v/>
      </c>
      <c r="G130" s="7" t="n"/>
    </row>
    <row r="131">
      <c r="A131" s="7" t="n"/>
      <c r="B131" s="12">
        <f>IFERROR(INDEX(Produkte!$B$2:$B$301,MATCH(A131,Produkte!$A$2:$A$301,0)),"")</f>
        <v/>
      </c>
      <c r="C131" s="7" t="n"/>
      <c r="D131" s="18" t="n"/>
      <c r="E131" s="7" t="n"/>
      <c r="F131" s="12">
        <f>IF(A131="","",IF(COUNTIF($A$2:$A$301,A131)&gt;1,"FEHLER: Produkt mehrfach aktiv",IF(COUNTIF(Faesser!$A$2:$A$301,C131)=0,"FEHLER: Fassnummer unbekannt",IF(IFERROR(INDEX(Faesser!$B$2:$B$301,MATCH(C131,Faesser!$A$2:$A$301,0)),"")&lt;&gt;A131,"WARNUNG: Fass enthält anderes Produkt","OK"))))</f>
        <v/>
      </c>
      <c r="G131" s="7" t="n"/>
    </row>
    <row r="132">
      <c r="A132" s="7" t="n"/>
      <c r="B132" s="12">
        <f>IFERROR(INDEX(Produkte!$B$2:$B$301,MATCH(A132,Produkte!$A$2:$A$301,0)),"")</f>
        <v/>
      </c>
      <c r="C132" s="7" t="n"/>
      <c r="D132" s="18" t="n"/>
      <c r="E132" s="7" t="n"/>
      <c r="F132" s="12">
        <f>IF(A132="","",IF(COUNTIF($A$2:$A$301,A132)&gt;1,"FEHLER: Produkt mehrfach aktiv",IF(COUNTIF(Faesser!$A$2:$A$301,C132)=0,"FEHLER: Fassnummer unbekannt",IF(IFERROR(INDEX(Faesser!$B$2:$B$301,MATCH(C132,Faesser!$A$2:$A$301,0)),"")&lt;&gt;A132,"WARNUNG: Fass enthält anderes Produkt","OK"))))</f>
        <v/>
      </c>
      <c r="G132" s="7" t="n"/>
    </row>
    <row r="133">
      <c r="A133" s="7" t="n"/>
      <c r="B133" s="12">
        <f>IFERROR(INDEX(Produkte!$B$2:$B$301,MATCH(A133,Produkte!$A$2:$A$301,0)),"")</f>
        <v/>
      </c>
      <c r="C133" s="7" t="n"/>
      <c r="D133" s="18" t="n"/>
      <c r="E133" s="7" t="n"/>
      <c r="F133" s="12">
        <f>IF(A133="","",IF(COUNTIF($A$2:$A$301,A133)&gt;1,"FEHLER: Produkt mehrfach aktiv",IF(COUNTIF(Faesser!$A$2:$A$301,C133)=0,"FEHLER: Fassnummer unbekannt",IF(IFERROR(INDEX(Faesser!$B$2:$B$301,MATCH(C133,Faesser!$A$2:$A$301,0)),"")&lt;&gt;A133,"WARNUNG: Fass enthält anderes Produkt","OK"))))</f>
        <v/>
      </c>
      <c r="G133" s="7" t="n"/>
    </row>
    <row r="134">
      <c r="A134" s="7" t="n"/>
      <c r="B134" s="12">
        <f>IFERROR(INDEX(Produkte!$B$2:$B$301,MATCH(A134,Produkte!$A$2:$A$301,0)),"")</f>
        <v/>
      </c>
      <c r="C134" s="7" t="n"/>
      <c r="D134" s="18" t="n"/>
      <c r="E134" s="7" t="n"/>
      <c r="F134" s="12">
        <f>IF(A134="","",IF(COUNTIF($A$2:$A$301,A134)&gt;1,"FEHLER: Produkt mehrfach aktiv",IF(COUNTIF(Faesser!$A$2:$A$301,C134)=0,"FEHLER: Fassnummer unbekannt",IF(IFERROR(INDEX(Faesser!$B$2:$B$301,MATCH(C134,Faesser!$A$2:$A$301,0)),"")&lt;&gt;A134,"WARNUNG: Fass enthält anderes Produkt","OK"))))</f>
        <v/>
      </c>
      <c r="G134" s="7" t="n"/>
    </row>
    <row r="135">
      <c r="A135" s="7" t="n"/>
      <c r="B135" s="12">
        <f>IFERROR(INDEX(Produkte!$B$2:$B$301,MATCH(A135,Produkte!$A$2:$A$301,0)),"")</f>
        <v/>
      </c>
      <c r="C135" s="7" t="n"/>
      <c r="D135" s="18" t="n"/>
      <c r="E135" s="7" t="n"/>
      <c r="F135" s="12">
        <f>IF(A135="","",IF(COUNTIF($A$2:$A$301,A135)&gt;1,"FEHLER: Produkt mehrfach aktiv",IF(COUNTIF(Faesser!$A$2:$A$301,C135)=0,"FEHLER: Fassnummer unbekannt",IF(IFERROR(INDEX(Faesser!$B$2:$B$301,MATCH(C135,Faesser!$A$2:$A$301,0)),"")&lt;&gt;A135,"WARNUNG: Fass enthält anderes Produkt","OK"))))</f>
        <v/>
      </c>
      <c r="G135" s="7" t="n"/>
    </row>
    <row r="136">
      <c r="A136" s="7" t="n"/>
      <c r="B136" s="12">
        <f>IFERROR(INDEX(Produkte!$B$2:$B$301,MATCH(A136,Produkte!$A$2:$A$301,0)),"")</f>
        <v/>
      </c>
      <c r="C136" s="7" t="n"/>
      <c r="D136" s="18" t="n"/>
      <c r="E136" s="7" t="n"/>
      <c r="F136" s="12">
        <f>IF(A136="","",IF(COUNTIF($A$2:$A$301,A136)&gt;1,"FEHLER: Produkt mehrfach aktiv",IF(COUNTIF(Faesser!$A$2:$A$301,C136)=0,"FEHLER: Fassnummer unbekannt",IF(IFERROR(INDEX(Faesser!$B$2:$B$301,MATCH(C136,Faesser!$A$2:$A$301,0)),"")&lt;&gt;A136,"WARNUNG: Fass enthält anderes Produkt","OK"))))</f>
        <v/>
      </c>
      <c r="G136" s="7" t="n"/>
    </row>
    <row r="137">
      <c r="A137" s="7" t="n"/>
      <c r="B137" s="12">
        <f>IFERROR(INDEX(Produkte!$B$2:$B$301,MATCH(A137,Produkte!$A$2:$A$301,0)),"")</f>
        <v/>
      </c>
      <c r="C137" s="7" t="n"/>
      <c r="D137" s="18" t="n"/>
      <c r="E137" s="7" t="n"/>
      <c r="F137" s="12">
        <f>IF(A137="","",IF(COUNTIF($A$2:$A$301,A137)&gt;1,"FEHLER: Produkt mehrfach aktiv",IF(COUNTIF(Faesser!$A$2:$A$301,C137)=0,"FEHLER: Fassnummer unbekannt",IF(IFERROR(INDEX(Faesser!$B$2:$B$301,MATCH(C137,Faesser!$A$2:$A$301,0)),"")&lt;&gt;A137,"WARNUNG: Fass enthält anderes Produkt","OK"))))</f>
        <v/>
      </c>
      <c r="G137" s="7" t="n"/>
    </row>
    <row r="138">
      <c r="A138" s="7" t="n"/>
      <c r="B138" s="12">
        <f>IFERROR(INDEX(Produkte!$B$2:$B$301,MATCH(A138,Produkte!$A$2:$A$301,0)),"")</f>
        <v/>
      </c>
      <c r="C138" s="7" t="n"/>
      <c r="D138" s="18" t="n"/>
      <c r="E138" s="7" t="n"/>
      <c r="F138" s="12">
        <f>IF(A138="","",IF(COUNTIF($A$2:$A$301,A138)&gt;1,"FEHLER: Produkt mehrfach aktiv",IF(COUNTIF(Faesser!$A$2:$A$301,C138)=0,"FEHLER: Fassnummer unbekannt",IF(IFERROR(INDEX(Faesser!$B$2:$B$301,MATCH(C138,Faesser!$A$2:$A$301,0)),"")&lt;&gt;A138,"WARNUNG: Fass enthält anderes Produkt","OK"))))</f>
        <v/>
      </c>
      <c r="G138" s="7" t="n"/>
    </row>
    <row r="139">
      <c r="A139" s="7" t="n"/>
      <c r="B139" s="12">
        <f>IFERROR(INDEX(Produkte!$B$2:$B$301,MATCH(A139,Produkte!$A$2:$A$301,0)),"")</f>
        <v/>
      </c>
      <c r="C139" s="7" t="n"/>
      <c r="D139" s="18" t="n"/>
      <c r="E139" s="7" t="n"/>
      <c r="F139" s="12">
        <f>IF(A139="","",IF(COUNTIF($A$2:$A$301,A139)&gt;1,"FEHLER: Produkt mehrfach aktiv",IF(COUNTIF(Faesser!$A$2:$A$301,C139)=0,"FEHLER: Fassnummer unbekannt",IF(IFERROR(INDEX(Faesser!$B$2:$B$301,MATCH(C139,Faesser!$A$2:$A$301,0)),"")&lt;&gt;A139,"WARNUNG: Fass enthält anderes Produkt","OK"))))</f>
        <v/>
      </c>
      <c r="G139" s="7" t="n"/>
    </row>
    <row r="140">
      <c r="A140" s="7" t="n"/>
      <c r="B140" s="12">
        <f>IFERROR(INDEX(Produkte!$B$2:$B$301,MATCH(A140,Produkte!$A$2:$A$301,0)),"")</f>
        <v/>
      </c>
      <c r="C140" s="7" t="n"/>
      <c r="D140" s="18" t="n"/>
      <c r="E140" s="7" t="n"/>
      <c r="F140" s="12">
        <f>IF(A140="","",IF(COUNTIF($A$2:$A$301,A140)&gt;1,"FEHLER: Produkt mehrfach aktiv",IF(COUNTIF(Faesser!$A$2:$A$301,C140)=0,"FEHLER: Fassnummer unbekannt",IF(IFERROR(INDEX(Faesser!$B$2:$B$301,MATCH(C140,Faesser!$A$2:$A$301,0)),"")&lt;&gt;A140,"WARNUNG: Fass enthält anderes Produkt","OK"))))</f>
        <v/>
      </c>
      <c r="G140" s="7" t="n"/>
    </row>
    <row r="141">
      <c r="A141" s="7" t="n"/>
      <c r="B141" s="12">
        <f>IFERROR(INDEX(Produkte!$B$2:$B$301,MATCH(A141,Produkte!$A$2:$A$301,0)),"")</f>
        <v/>
      </c>
      <c r="C141" s="7" t="n"/>
      <c r="D141" s="18" t="n"/>
      <c r="E141" s="7" t="n"/>
      <c r="F141" s="12">
        <f>IF(A141="","",IF(COUNTIF($A$2:$A$301,A141)&gt;1,"FEHLER: Produkt mehrfach aktiv",IF(COUNTIF(Faesser!$A$2:$A$301,C141)=0,"FEHLER: Fassnummer unbekannt",IF(IFERROR(INDEX(Faesser!$B$2:$B$301,MATCH(C141,Faesser!$A$2:$A$301,0)),"")&lt;&gt;A141,"WARNUNG: Fass enthält anderes Produkt","OK"))))</f>
        <v/>
      </c>
      <c r="G141" s="7" t="n"/>
    </row>
    <row r="142">
      <c r="A142" s="7" t="n"/>
      <c r="B142" s="12">
        <f>IFERROR(INDEX(Produkte!$B$2:$B$301,MATCH(A142,Produkte!$A$2:$A$301,0)),"")</f>
        <v/>
      </c>
      <c r="C142" s="7" t="n"/>
      <c r="D142" s="18" t="n"/>
      <c r="E142" s="7" t="n"/>
      <c r="F142" s="12">
        <f>IF(A142="","",IF(COUNTIF($A$2:$A$301,A142)&gt;1,"FEHLER: Produkt mehrfach aktiv",IF(COUNTIF(Faesser!$A$2:$A$301,C142)=0,"FEHLER: Fassnummer unbekannt",IF(IFERROR(INDEX(Faesser!$B$2:$B$301,MATCH(C142,Faesser!$A$2:$A$301,0)),"")&lt;&gt;A142,"WARNUNG: Fass enthält anderes Produkt","OK"))))</f>
        <v/>
      </c>
      <c r="G142" s="7" t="n"/>
    </row>
    <row r="143">
      <c r="A143" s="7" t="n"/>
      <c r="B143" s="12">
        <f>IFERROR(INDEX(Produkte!$B$2:$B$301,MATCH(A143,Produkte!$A$2:$A$301,0)),"")</f>
        <v/>
      </c>
      <c r="C143" s="7" t="n"/>
      <c r="D143" s="18" t="n"/>
      <c r="E143" s="7" t="n"/>
      <c r="F143" s="12">
        <f>IF(A143="","",IF(COUNTIF($A$2:$A$301,A143)&gt;1,"FEHLER: Produkt mehrfach aktiv",IF(COUNTIF(Faesser!$A$2:$A$301,C143)=0,"FEHLER: Fassnummer unbekannt",IF(IFERROR(INDEX(Faesser!$B$2:$B$301,MATCH(C143,Faesser!$A$2:$A$301,0)),"")&lt;&gt;A143,"WARNUNG: Fass enthält anderes Produkt","OK"))))</f>
        <v/>
      </c>
      <c r="G143" s="7" t="n"/>
    </row>
    <row r="144">
      <c r="A144" s="7" t="n"/>
      <c r="B144" s="12">
        <f>IFERROR(INDEX(Produkte!$B$2:$B$301,MATCH(A144,Produkte!$A$2:$A$301,0)),"")</f>
        <v/>
      </c>
      <c r="C144" s="7" t="n"/>
      <c r="D144" s="18" t="n"/>
      <c r="E144" s="7" t="n"/>
      <c r="F144" s="12">
        <f>IF(A144="","",IF(COUNTIF($A$2:$A$301,A144)&gt;1,"FEHLER: Produkt mehrfach aktiv",IF(COUNTIF(Faesser!$A$2:$A$301,C144)=0,"FEHLER: Fassnummer unbekannt",IF(IFERROR(INDEX(Faesser!$B$2:$B$301,MATCH(C144,Faesser!$A$2:$A$301,0)),"")&lt;&gt;A144,"WARNUNG: Fass enthält anderes Produkt","OK"))))</f>
        <v/>
      </c>
      <c r="G144" s="7" t="n"/>
    </row>
    <row r="145">
      <c r="A145" s="7" t="n"/>
      <c r="B145" s="12">
        <f>IFERROR(INDEX(Produkte!$B$2:$B$301,MATCH(A145,Produkte!$A$2:$A$301,0)),"")</f>
        <v/>
      </c>
      <c r="C145" s="7" t="n"/>
      <c r="D145" s="18" t="n"/>
      <c r="E145" s="7" t="n"/>
      <c r="F145" s="12">
        <f>IF(A145="","",IF(COUNTIF($A$2:$A$301,A145)&gt;1,"FEHLER: Produkt mehrfach aktiv",IF(COUNTIF(Faesser!$A$2:$A$301,C145)=0,"FEHLER: Fassnummer unbekannt",IF(IFERROR(INDEX(Faesser!$B$2:$B$301,MATCH(C145,Faesser!$A$2:$A$301,0)),"")&lt;&gt;A145,"WARNUNG: Fass enthält anderes Produkt","OK"))))</f>
        <v/>
      </c>
      <c r="G145" s="7" t="n"/>
    </row>
    <row r="146">
      <c r="A146" s="7" t="n"/>
      <c r="B146" s="12">
        <f>IFERROR(INDEX(Produkte!$B$2:$B$301,MATCH(A146,Produkte!$A$2:$A$301,0)),"")</f>
        <v/>
      </c>
      <c r="C146" s="7" t="n"/>
      <c r="D146" s="18" t="n"/>
      <c r="E146" s="7" t="n"/>
      <c r="F146" s="12">
        <f>IF(A146="","",IF(COUNTIF($A$2:$A$301,A146)&gt;1,"FEHLER: Produkt mehrfach aktiv",IF(COUNTIF(Faesser!$A$2:$A$301,C146)=0,"FEHLER: Fassnummer unbekannt",IF(IFERROR(INDEX(Faesser!$B$2:$B$301,MATCH(C146,Faesser!$A$2:$A$301,0)),"")&lt;&gt;A146,"WARNUNG: Fass enthält anderes Produkt","OK"))))</f>
        <v/>
      </c>
      <c r="G146" s="7" t="n"/>
    </row>
    <row r="147">
      <c r="A147" s="7" t="n"/>
      <c r="B147" s="12">
        <f>IFERROR(INDEX(Produkte!$B$2:$B$301,MATCH(A147,Produkte!$A$2:$A$301,0)),"")</f>
        <v/>
      </c>
      <c r="C147" s="7" t="n"/>
      <c r="D147" s="18" t="n"/>
      <c r="E147" s="7" t="n"/>
      <c r="F147" s="12">
        <f>IF(A147="","",IF(COUNTIF($A$2:$A$301,A147)&gt;1,"FEHLER: Produkt mehrfach aktiv",IF(COUNTIF(Faesser!$A$2:$A$301,C147)=0,"FEHLER: Fassnummer unbekannt",IF(IFERROR(INDEX(Faesser!$B$2:$B$301,MATCH(C147,Faesser!$A$2:$A$301,0)),"")&lt;&gt;A147,"WARNUNG: Fass enthält anderes Produkt","OK"))))</f>
        <v/>
      </c>
      <c r="G147" s="7" t="n"/>
    </row>
    <row r="148">
      <c r="A148" s="7" t="n"/>
      <c r="B148" s="12">
        <f>IFERROR(INDEX(Produkte!$B$2:$B$301,MATCH(A148,Produkte!$A$2:$A$301,0)),"")</f>
        <v/>
      </c>
      <c r="C148" s="7" t="n"/>
      <c r="D148" s="18" t="n"/>
      <c r="E148" s="7" t="n"/>
      <c r="F148" s="12">
        <f>IF(A148="","",IF(COUNTIF($A$2:$A$301,A148)&gt;1,"FEHLER: Produkt mehrfach aktiv",IF(COUNTIF(Faesser!$A$2:$A$301,C148)=0,"FEHLER: Fassnummer unbekannt",IF(IFERROR(INDEX(Faesser!$B$2:$B$301,MATCH(C148,Faesser!$A$2:$A$301,0)),"")&lt;&gt;A148,"WARNUNG: Fass enthält anderes Produkt","OK"))))</f>
        <v/>
      </c>
      <c r="G148" s="7" t="n"/>
    </row>
    <row r="149">
      <c r="A149" s="7" t="n"/>
      <c r="B149" s="12">
        <f>IFERROR(INDEX(Produkte!$B$2:$B$301,MATCH(A149,Produkte!$A$2:$A$301,0)),"")</f>
        <v/>
      </c>
      <c r="C149" s="7" t="n"/>
      <c r="D149" s="18" t="n"/>
      <c r="E149" s="7" t="n"/>
      <c r="F149" s="12">
        <f>IF(A149="","",IF(COUNTIF($A$2:$A$301,A149)&gt;1,"FEHLER: Produkt mehrfach aktiv",IF(COUNTIF(Faesser!$A$2:$A$301,C149)=0,"FEHLER: Fassnummer unbekannt",IF(IFERROR(INDEX(Faesser!$B$2:$B$301,MATCH(C149,Faesser!$A$2:$A$301,0)),"")&lt;&gt;A149,"WARNUNG: Fass enthält anderes Produkt","OK"))))</f>
        <v/>
      </c>
      <c r="G149" s="7" t="n"/>
    </row>
    <row r="150">
      <c r="A150" s="7" t="n"/>
      <c r="B150" s="12">
        <f>IFERROR(INDEX(Produkte!$B$2:$B$301,MATCH(A150,Produkte!$A$2:$A$301,0)),"")</f>
        <v/>
      </c>
      <c r="C150" s="7" t="n"/>
      <c r="D150" s="18" t="n"/>
      <c r="E150" s="7" t="n"/>
      <c r="F150" s="12">
        <f>IF(A150="","",IF(COUNTIF($A$2:$A$301,A150)&gt;1,"FEHLER: Produkt mehrfach aktiv",IF(COUNTIF(Faesser!$A$2:$A$301,C150)=0,"FEHLER: Fassnummer unbekannt",IF(IFERROR(INDEX(Faesser!$B$2:$B$301,MATCH(C150,Faesser!$A$2:$A$301,0)),"")&lt;&gt;A150,"WARNUNG: Fass enthält anderes Produkt","OK"))))</f>
        <v/>
      </c>
      <c r="G150" s="7" t="n"/>
    </row>
    <row r="151">
      <c r="A151" s="7" t="n"/>
      <c r="B151" s="12">
        <f>IFERROR(INDEX(Produkte!$B$2:$B$301,MATCH(A151,Produkte!$A$2:$A$301,0)),"")</f>
        <v/>
      </c>
      <c r="C151" s="7" t="n"/>
      <c r="D151" s="18" t="n"/>
      <c r="E151" s="7" t="n"/>
      <c r="F151" s="12">
        <f>IF(A151="","",IF(COUNTIF($A$2:$A$301,A151)&gt;1,"FEHLER: Produkt mehrfach aktiv",IF(COUNTIF(Faesser!$A$2:$A$301,C151)=0,"FEHLER: Fassnummer unbekannt",IF(IFERROR(INDEX(Faesser!$B$2:$B$301,MATCH(C151,Faesser!$A$2:$A$301,0)),"")&lt;&gt;A151,"WARNUNG: Fass enthält anderes Produkt","OK"))))</f>
        <v/>
      </c>
      <c r="G151" s="7" t="n"/>
    </row>
    <row r="152">
      <c r="A152" s="7" t="n"/>
      <c r="B152" s="12">
        <f>IFERROR(INDEX(Produkte!$B$2:$B$301,MATCH(A152,Produkte!$A$2:$A$301,0)),"")</f>
        <v/>
      </c>
      <c r="C152" s="7" t="n"/>
      <c r="D152" s="18" t="n"/>
      <c r="E152" s="7" t="n"/>
      <c r="F152" s="12">
        <f>IF(A152="","",IF(COUNTIF($A$2:$A$301,A152)&gt;1,"FEHLER: Produkt mehrfach aktiv",IF(COUNTIF(Faesser!$A$2:$A$301,C152)=0,"FEHLER: Fassnummer unbekannt",IF(IFERROR(INDEX(Faesser!$B$2:$B$301,MATCH(C152,Faesser!$A$2:$A$301,0)),"")&lt;&gt;A152,"WARNUNG: Fass enthält anderes Produkt","OK"))))</f>
        <v/>
      </c>
      <c r="G152" s="7" t="n"/>
    </row>
    <row r="153">
      <c r="A153" s="7" t="n"/>
      <c r="B153" s="12">
        <f>IFERROR(INDEX(Produkte!$B$2:$B$301,MATCH(A153,Produkte!$A$2:$A$301,0)),"")</f>
        <v/>
      </c>
      <c r="C153" s="7" t="n"/>
      <c r="D153" s="18" t="n"/>
      <c r="E153" s="7" t="n"/>
      <c r="F153" s="12">
        <f>IF(A153="","",IF(COUNTIF($A$2:$A$301,A153)&gt;1,"FEHLER: Produkt mehrfach aktiv",IF(COUNTIF(Faesser!$A$2:$A$301,C153)=0,"FEHLER: Fassnummer unbekannt",IF(IFERROR(INDEX(Faesser!$B$2:$B$301,MATCH(C153,Faesser!$A$2:$A$301,0)),"")&lt;&gt;A153,"WARNUNG: Fass enthält anderes Produkt","OK"))))</f>
        <v/>
      </c>
      <c r="G153" s="7" t="n"/>
    </row>
    <row r="154">
      <c r="A154" s="7" t="n"/>
      <c r="B154" s="12">
        <f>IFERROR(INDEX(Produkte!$B$2:$B$301,MATCH(A154,Produkte!$A$2:$A$301,0)),"")</f>
        <v/>
      </c>
      <c r="C154" s="7" t="n"/>
      <c r="D154" s="18" t="n"/>
      <c r="E154" s="7" t="n"/>
      <c r="F154" s="12">
        <f>IF(A154="","",IF(COUNTIF($A$2:$A$301,A154)&gt;1,"FEHLER: Produkt mehrfach aktiv",IF(COUNTIF(Faesser!$A$2:$A$301,C154)=0,"FEHLER: Fassnummer unbekannt",IF(IFERROR(INDEX(Faesser!$B$2:$B$301,MATCH(C154,Faesser!$A$2:$A$301,0)),"")&lt;&gt;A154,"WARNUNG: Fass enthält anderes Produkt","OK"))))</f>
        <v/>
      </c>
      <c r="G154" s="7" t="n"/>
    </row>
    <row r="155">
      <c r="A155" s="7" t="n"/>
      <c r="B155" s="12">
        <f>IFERROR(INDEX(Produkte!$B$2:$B$301,MATCH(A155,Produkte!$A$2:$A$301,0)),"")</f>
        <v/>
      </c>
      <c r="C155" s="7" t="n"/>
      <c r="D155" s="18" t="n"/>
      <c r="E155" s="7" t="n"/>
      <c r="F155" s="12">
        <f>IF(A155="","",IF(COUNTIF($A$2:$A$301,A155)&gt;1,"FEHLER: Produkt mehrfach aktiv",IF(COUNTIF(Faesser!$A$2:$A$301,C155)=0,"FEHLER: Fassnummer unbekannt",IF(IFERROR(INDEX(Faesser!$B$2:$B$301,MATCH(C155,Faesser!$A$2:$A$301,0)),"")&lt;&gt;A155,"WARNUNG: Fass enthält anderes Produkt","OK"))))</f>
        <v/>
      </c>
      <c r="G155" s="7" t="n"/>
    </row>
    <row r="156">
      <c r="A156" s="7" t="n"/>
      <c r="B156" s="12">
        <f>IFERROR(INDEX(Produkte!$B$2:$B$301,MATCH(A156,Produkte!$A$2:$A$301,0)),"")</f>
        <v/>
      </c>
      <c r="C156" s="7" t="n"/>
      <c r="D156" s="18" t="n"/>
      <c r="E156" s="7" t="n"/>
      <c r="F156" s="12">
        <f>IF(A156="","",IF(COUNTIF($A$2:$A$301,A156)&gt;1,"FEHLER: Produkt mehrfach aktiv",IF(COUNTIF(Faesser!$A$2:$A$301,C156)=0,"FEHLER: Fassnummer unbekannt",IF(IFERROR(INDEX(Faesser!$B$2:$B$301,MATCH(C156,Faesser!$A$2:$A$301,0)),"")&lt;&gt;A156,"WARNUNG: Fass enthält anderes Produkt","OK"))))</f>
        <v/>
      </c>
      <c r="G156" s="7" t="n"/>
    </row>
    <row r="157">
      <c r="A157" s="7" t="n"/>
      <c r="B157" s="12">
        <f>IFERROR(INDEX(Produkte!$B$2:$B$301,MATCH(A157,Produkte!$A$2:$A$301,0)),"")</f>
        <v/>
      </c>
      <c r="C157" s="7" t="n"/>
      <c r="D157" s="18" t="n"/>
      <c r="E157" s="7" t="n"/>
      <c r="F157" s="12">
        <f>IF(A157="","",IF(COUNTIF($A$2:$A$301,A157)&gt;1,"FEHLER: Produkt mehrfach aktiv",IF(COUNTIF(Faesser!$A$2:$A$301,C157)=0,"FEHLER: Fassnummer unbekannt",IF(IFERROR(INDEX(Faesser!$B$2:$B$301,MATCH(C157,Faesser!$A$2:$A$301,0)),"")&lt;&gt;A157,"WARNUNG: Fass enthält anderes Produkt","OK"))))</f>
        <v/>
      </c>
      <c r="G157" s="7" t="n"/>
    </row>
    <row r="158">
      <c r="A158" s="7" t="n"/>
      <c r="B158" s="12">
        <f>IFERROR(INDEX(Produkte!$B$2:$B$301,MATCH(A158,Produkte!$A$2:$A$301,0)),"")</f>
        <v/>
      </c>
      <c r="C158" s="7" t="n"/>
      <c r="D158" s="18" t="n"/>
      <c r="E158" s="7" t="n"/>
      <c r="F158" s="12">
        <f>IF(A158="","",IF(COUNTIF($A$2:$A$301,A158)&gt;1,"FEHLER: Produkt mehrfach aktiv",IF(COUNTIF(Faesser!$A$2:$A$301,C158)=0,"FEHLER: Fassnummer unbekannt",IF(IFERROR(INDEX(Faesser!$B$2:$B$301,MATCH(C158,Faesser!$A$2:$A$301,0)),"")&lt;&gt;A158,"WARNUNG: Fass enthält anderes Produkt","OK"))))</f>
        <v/>
      </c>
      <c r="G158" s="7" t="n"/>
    </row>
    <row r="159">
      <c r="A159" s="7" t="n"/>
      <c r="B159" s="12">
        <f>IFERROR(INDEX(Produkte!$B$2:$B$301,MATCH(A159,Produkte!$A$2:$A$301,0)),"")</f>
        <v/>
      </c>
      <c r="C159" s="7" t="n"/>
      <c r="D159" s="18" t="n"/>
      <c r="E159" s="7" t="n"/>
      <c r="F159" s="12">
        <f>IF(A159="","",IF(COUNTIF($A$2:$A$301,A159)&gt;1,"FEHLER: Produkt mehrfach aktiv",IF(COUNTIF(Faesser!$A$2:$A$301,C159)=0,"FEHLER: Fassnummer unbekannt",IF(IFERROR(INDEX(Faesser!$B$2:$B$301,MATCH(C159,Faesser!$A$2:$A$301,0)),"")&lt;&gt;A159,"WARNUNG: Fass enthält anderes Produkt","OK"))))</f>
        <v/>
      </c>
      <c r="G159" s="7" t="n"/>
    </row>
    <row r="160">
      <c r="A160" s="7" t="n"/>
      <c r="B160" s="12">
        <f>IFERROR(INDEX(Produkte!$B$2:$B$301,MATCH(A160,Produkte!$A$2:$A$301,0)),"")</f>
        <v/>
      </c>
      <c r="C160" s="7" t="n"/>
      <c r="D160" s="18" t="n"/>
      <c r="E160" s="7" t="n"/>
      <c r="F160" s="12">
        <f>IF(A160="","",IF(COUNTIF($A$2:$A$301,A160)&gt;1,"FEHLER: Produkt mehrfach aktiv",IF(COUNTIF(Faesser!$A$2:$A$301,C160)=0,"FEHLER: Fassnummer unbekannt",IF(IFERROR(INDEX(Faesser!$B$2:$B$301,MATCH(C160,Faesser!$A$2:$A$301,0)),"")&lt;&gt;A160,"WARNUNG: Fass enthält anderes Produkt","OK"))))</f>
        <v/>
      </c>
      <c r="G160" s="7" t="n"/>
    </row>
    <row r="161">
      <c r="A161" s="7" t="n"/>
      <c r="B161" s="12">
        <f>IFERROR(INDEX(Produkte!$B$2:$B$301,MATCH(A161,Produkte!$A$2:$A$301,0)),"")</f>
        <v/>
      </c>
      <c r="C161" s="7" t="n"/>
      <c r="D161" s="18" t="n"/>
      <c r="E161" s="7" t="n"/>
      <c r="F161" s="12">
        <f>IF(A161="","",IF(COUNTIF($A$2:$A$301,A161)&gt;1,"FEHLER: Produkt mehrfach aktiv",IF(COUNTIF(Faesser!$A$2:$A$301,C161)=0,"FEHLER: Fassnummer unbekannt",IF(IFERROR(INDEX(Faesser!$B$2:$B$301,MATCH(C161,Faesser!$A$2:$A$301,0)),"")&lt;&gt;A161,"WARNUNG: Fass enthält anderes Produkt","OK"))))</f>
        <v/>
      </c>
      <c r="G161" s="7" t="n"/>
    </row>
    <row r="162">
      <c r="A162" s="7" t="n"/>
      <c r="B162" s="12">
        <f>IFERROR(INDEX(Produkte!$B$2:$B$301,MATCH(A162,Produkte!$A$2:$A$301,0)),"")</f>
        <v/>
      </c>
      <c r="C162" s="7" t="n"/>
      <c r="D162" s="18" t="n"/>
      <c r="E162" s="7" t="n"/>
      <c r="F162" s="12">
        <f>IF(A162="","",IF(COUNTIF($A$2:$A$301,A162)&gt;1,"FEHLER: Produkt mehrfach aktiv",IF(COUNTIF(Faesser!$A$2:$A$301,C162)=0,"FEHLER: Fassnummer unbekannt",IF(IFERROR(INDEX(Faesser!$B$2:$B$301,MATCH(C162,Faesser!$A$2:$A$301,0)),"")&lt;&gt;A162,"WARNUNG: Fass enthält anderes Produkt","OK"))))</f>
        <v/>
      </c>
      <c r="G162" s="7" t="n"/>
    </row>
    <row r="163">
      <c r="A163" s="7" t="n"/>
      <c r="B163" s="12">
        <f>IFERROR(INDEX(Produkte!$B$2:$B$301,MATCH(A163,Produkte!$A$2:$A$301,0)),"")</f>
        <v/>
      </c>
      <c r="C163" s="7" t="n"/>
      <c r="D163" s="18" t="n"/>
      <c r="E163" s="7" t="n"/>
      <c r="F163" s="12">
        <f>IF(A163="","",IF(COUNTIF($A$2:$A$301,A163)&gt;1,"FEHLER: Produkt mehrfach aktiv",IF(COUNTIF(Faesser!$A$2:$A$301,C163)=0,"FEHLER: Fassnummer unbekannt",IF(IFERROR(INDEX(Faesser!$B$2:$B$301,MATCH(C163,Faesser!$A$2:$A$301,0)),"")&lt;&gt;A163,"WARNUNG: Fass enthält anderes Produkt","OK"))))</f>
        <v/>
      </c>
      <c r="G163" s="7" t="n"/>
    </row>
    <row r="164">
      <c r="A164" s="7" t="n"/>
      <c r="B164" s="12">
        <f>IFERROR(INDEX(Produkte!$B$2:$B$301,MATCH(A164,Produkte!$A$2:$A$301,0)),"")</f>
        <v/>
      </c>
      <c r="C164" s="7" t="n"/>
      <c r="D164" s="18" t="n"/>
      <c r="E164" s="7" t="n"/>
      <c r="F164" s="12">
        <f>IF(A164="","",IF(COUNTIF($A$2:$A$301,A164)&gt;1,"FEHLER: Produkt mehrfach aktiv",IF(COUNTIF(Faesser!$A$2:$A$301,C164)=0,"FEHLER: Fassnummer unbekannt",IF(IFERROR(INDEX(Faesser!$B$2:$B$301,MATCH(C164,Faesser!$A$2:$A$301,0)),"")&lt;&gt;A164,"WARNUNG: Fass enthält anderes Produkt","OK"))))</f>
        <v/>
      </c>
      <c r="G164" s="7" t="n"/>
    </row>
    <row r="165">
      <c r="A165" s="7" t="n"/>
      <c r="B165" s="12">
        <f>IFERROR(INDEX(Produkte!$B$2:$B$301,MATCH(A165,Produkte!$A$2:$A$301,0)),"")</f>
        <v/>
      </c>
      <c r="C165" s="7" t="n"/>
      <c r="D165" s="18" t="n"/>
      <c r="E165" s="7" t="n"/>
      <c r="F165" s="12">
        <f>IF(A165="","",IF(COUNTIF($A$2:$A$301,A165)&gt;1,"FEHLER: Produkt mehrfach aktiv",IF(COUNTIF(Faesser!$A$2:$A$301,C165)=0,"FEHLER: Fassnummer unbekannt",IF(IFERROR(INDEX(Faesser!$B$2:$B$301,MATCH(C165,Faesser!$A$2:$A$301,0)),"")&lt;&gt;A165,"WARNUNG: Fass enthält anderes Produkt","OK"))))</f>
        <v/>
      </c>
      <c r="G165" s="7" t="n"/>
    </row>
    <row r="166">
      <c r="A166" s="7" t="n"/>
      <c r="B166" s="12">
        <f>IFERROR(INDEX(Produkte!$B$2:$B$301,MATCH(A166,Produkte!$A$2:$A$301,0)),"")</f>
        <v/>
      </c>
      <c r="C166" s="7" t="n"/>
      <c r="D166" s="18" t="n"/>
      <c r="E166" s="7" t="n"/>
      <c r="F166" s="12">
        <f>IF(A166="","",IF(COUNTIF($A$2:$A$301,A166)&gt;1,"FEHLER: Produkt mehrfach aktiv",IF(COUNTIF(Faesser!$A$2:$A$301,C166)=0,"FEHLER: Fassnummer unbekannt",IF(IFERROR(INDEX(Faesser!$B$2:$B$301,MATCH(C166,Faesser!$A$2:$A$301,0)),"")&lt;&gt;A166,"WARNUNG: Fass enthält anderes Produkt","OK"))))</f>
        <v/>
      </c>
      <c r="G166" s="7" t="n"/>
    </row>
    <row r="167">
      <c r="A167" s="7" t="n"/>
      <c r="B167" s="12">
        <f>IFERROR(INDEX(Produkte!$B$2:$B$301,MATCH(A167,Produkte!$A$2:$A$301,0)),"")</f>
        <v/>
      </c>
      <c r="C167" s="7" t="n"/>
      <c r="D167" s="18" t="n"/>
      <c r="E167" s="7" t="n"/>
      <c r="F167" s="12">
        <f>IF(A167="","",IF(COUNTIF($A$2:$A$301,A167)&gt;1,"FEHLER: Produkt mehrfach aktiv",IF(COUNTIF(Faesser!$A$2:$A$301,C167)=0,"FEHLER: Fassnummer unbekannt",IF(IFERROR(INDEX(Faesser!$B$2:$B$301,MATCH(C167,Faesser!$A$2:$A$301,0)),"")&lt;&gt;A167,"WARNUNG: Fass enthält anderes Produkt","OK"))))</f>
        <v/>
      </c>
      <c r="G167" s="7" t="n"/>
    </row>
    <row r="168">
      <c r="A168" s="7" t="n"/>
      <c r="B168" s="12">
        <f>IFERROR(INDEX(Produkte!$B$2:$B$301,MATCH(A168,Produkte!$A$2:$A$301,0)),"")</f>
        <v/>
      </c>
      <c r="C168" s="7" t="n"/>
      <c r="D168" s="18" t="n"/>
      <c r="E168" s="7" t="n"/>
      <c r="F168" s="12">
        <f>IF(A168="","",IF(COUNTIF($A$2:$A$301,A168)&gt;1,"FEHLER: Produkt mehrfach aktiv",IF(COUNTIF(Faesser!$A$2:$A$301,C168)=0,"FEHLER: Fassnummer unbekannt",IF(IFERROR(INDEX(Faesser!$B$2:$B$301,MATCH(C168,Faesser!$A$2:$A$301,0)),"")&lt;&gt;A168,"WARNUNG: Fass enthält anderes Produkt","OK"))))</f>
        <v/>
      </c>
      <c r="G168" s="7" t="n"/>
    </row>
    <row r="169">
      <c r="A169" s="7" t="n"/>
      <c r="B169" s="12">
        <f>IFERROR(INDEX(Produkte!$B$2:$B$301,MATCH(A169,Produkte!$A$2:$A$301,0)),"")</f>
        <v/>
      </c>
      <c r="C169" s="7" t="n"/>
      <c r="D169" s="18" t="n"/>
      <c r="E169" s="7" t="n"/>
      <c r="F169" s="12">
        <f>IF(A169="","",IF(COUNTIF($A$2:$A$301,A169)&gt;1,"FEHLER: Produkt mehrfach aktiv",IF(COUNTIF(Faesser!$A$2:$A$301,C169)=0,"FEHLER: Fassnummer unbekannt",IF(IFERROR(INDEX(Faesser!$B$2:$B$301,MATCH(C169,Faesser!$A$2:$A$301,0)),"")&lt;&gt;A169,"WARNUNG: Fass enthält anderes Produkt","OK"))))</f>
        <v/>
      </c>
      <c r="G169" s="7" t="n"/>
    </row>
    <row r="170">
      <c r="A170" s="7" t="n"/>
      <c r="B170" s="12">
        <f>IFERROR(INDEX(Produkte!$B$2:$B$301,MATCH(A170,Produkte!$A$2:$A$301,0)),"")</f>
        <v/>
      </c>
      <c r="C170" s="7" t="n"/>
      <c r="D170" s="18" t="n"/>
      <c r="E170" s="7" t="n"/>
      <c r="F170" s="12">
        <f>IF(A170="","",IF(COUNTIF($A$2:$A$301,A170)&gt;1,"FEHLER: Produkt mehrfach aktiv",IF(COUNTIF(Faesser!$A$2:$A$301,C170)=0,"FEHLER: Fassnummer unbekannt",IF(IFERROR(INDEX(Faesser!$B$2:$B$301,MATCH(C170,Faesser!$A$2:$A$301,0)),"")&lt;&gt;A170,"WARNUNG: Fass enthält anderes Produkt","OK"))))</f>
        <v/>
      </c>
      <c r="G170" s="7" t="n"/>
    </row>
    <row r="171">
      <c r="A171" s="7" t="n"/>
      <c r="B171" s="12">
        <f>IFERROR(INDEX(Produkte!$B$2:$B$301,MATCH(A171,Produkte!$A$2:$A$301,0)),"")</f>
        <v/>
      </c>
      <c r="C171" s="7" t="n"/>
      <c r="D171" s="18" t="n"/>
      <c r="E171" s="7" t="n"/>
      <c r="F171" s="12">
        <f>IF(A171="","",IF(COUNTIF($A$2:$A$301,A171)&gt;1,"FEHLER: Produkt mehrfach aktiv",IF(COUNTIF(Faesser!$A$2:$A$301,C171)=0,"FEHLER: Fassnummer unbekannt",IF(IFERROR(INDEX(Faesser!$B$2:$B$301,MATCH(C171,Faesser!$A$2:$A$301,0)),"")&lt;&gt;A171,"WARNUNG: Fass enthält anderes Produkt","OK"))))</f>
        <v/>
      </c>
      <c r="G171" s="7" t="n"/>
    </row>
    <row r="172">
      <c r="A172" s="7" t="n"/>
      <c r="B172" s="12">
        <f>IFERROR(INDEX(Produkte!$B$2:$B$301,MATCH(A172,Produkte!$A$2:$A$301,0)),"")</f>
        <v/>
      </c>
      <c r="C172" s="7" t="n"/>
      <c r="D172" s="18" t="n"/>
      <c r="E172" s="7" t="n"/>
      <c r="F172" s="12">
        <f>IF(A172="","",IF(COUNTIF($A$2:$A$301,A172)&gt;1,"FEHLER: Produkt mehrfach aktiv",IF(COUNTIF(Faesser!$A$2:$A$301,C172)=0,"FEHLER: Fassnummer unbekannt",IF(IFERROR(INDEX(Faesser!$B$2:$B$301,MATCH(C172,Faesser!$A$2:$A$301,0)),"")&lt;&gt;A172,"WARNUNG: Fass enthält anderes Produkt","OK"))))</f>
        <v/>
      </c>
      <c r="G172" s="7" t="n"/>
    </row>
    <row r="173">
      <c r="A173" s="7" t="n"/>
      <c r="B173" s="12">
        <f>IFERROR(INDEX(Produkte!$B$2:$B$301,MATCH(A173,Produkte!$A$2:$A$301,0)),"")</f>
        <v/>
      </c>
      <c r="C173" s="7" t="n"/>
      <c r="D173" s="18" t="n"/>
      <c r="E173" s="7" t="n"/>
      <c r="F173" s="12">
        <f>IF(A173="","",IF(COUNTIF($A$2:$A$301,A173)&gt;1,"FEHLER: Produkt mehrfach aktiv",IF(COUNTIF(Faesser!$A$2:$A$301,C173)=0,"FEHLER: Fassnummer unbekannt",IF(IFERROR(INDEX(Faesser!$B$2:$B$301,MATCH(C173,Faesser!$A$2:$A$301,0)),"")&lt;&gt;A173,"WARNUNG: Fass enthält anderes Produkt","OK"))))</f>
        <v/>
      </c>
      <c r="G173" s="7" t="n"/>
    </row>
    <row r="174">
      <c r="A174" s="7" t="n"/>
      <c r="B174" s="12">
        <f>IFERROR(INDEX(Produkte!$B$2:$B$301,MATCH(A174,Produkte!$A$2:$A$301,0)),"")</f>
        <v/>
      </c>
      <c r="C174" s="7" t="n"/>
      <c r="D174" s="18" t="n"/>
      <c r="E174" s="7" t="n"/>
      <c r="F174" s="12">
        <f>IF(A174="","",IF(COUNTIF($A$2:$A$301,A174)&gt;1,"FEHLER: Produkt mehrfach aktiv",IF(COUNTIF(Faesser!$A$2:$A$301,C174)=0,"FEHLER: Fassnummer unbekannt",IF(IFERROR(INDEX(Faesser!$B$2:$B$301,MATCH(C174,Faesser!$A$2:$A$301,0)),"")&lt;&gt;A174,"WARNUNG: Fass enthält anderes Produkt","OK"))))</f>
        <v/>
      </c>
      <c r="G174" s="7" t="n"/>
    </row>
    <row r="175">
      <c r="A175" s="7" t="n"/>
      <c r="B175" s="12">
        <f>IFERROR(INDEX(Produkte!$B$2:$B$301,MATCH(A175,Produkte!$A$2:$A$301,0)),"")</f>
        <v/>
      </c>
      <c r="C175" s="7" t="n"/>
      <c r="D175" s="18" t="n"/>
      <c r="E175" s="7" t="n"/>
      <c r="F175" s="12">
        <f>IF(A175="","",IF(COUNTIF($A$2:$A$301,A175)&gt;1,"FEHLER: Produkt mehrfach aktiv",IF(COUNTIF(Faesser!$A$2:$A$301,C175)=0,"FEHLER: Fassnummer unbekannt",IF(IFERROR(INDEX(Faesser!$B$2:$B$301,MATCH(C175,Faesser!$A$2:$A$301,0)),"")&lt;&gt;A175,"WARNUNG: Fass enthält anderes Produkt","OK"))))</f>
        <v/>
      </c>
      <c r="G175" s="7" t="n"/>
    </row>
    <row r="176">
      <c r="A176" s="7" t="n"/>
      <c r="B176" s="12">
        <f>IFERROR(INDEX(Produkte!$B$2:$B$301,MATCH(A176,Produkte!$A$2:$A$301,0)),"")</f>
        <v/>
      </c>
      <c r="C176" s="7" t="n"/>
      <c r="D176" s="18" t="n"/>
      <c r="E176" s="7" t="n"/>
      <c r="F176" s="12">
        <f>IF(A176="","",IF(COUNTIF($A$2:$A$301,A176)&gt;1,"FEHLER: Produkt mehrfach aktiv",IF(COUNTIF(Faesser!$A$2:$A$301,C176)=0,"FEHLER: Fassnummer unbekannt",IF(IFERROR(INDEX(Faesser!$B$2:$B$301,MATCH(C176,Faesser!$A$2:$A$301,0)),"")&lt;&gt;A176,"WARNUNG: Fass enthält anderes Produkt","OK"))))</f>
        <v/>
      </c>
      <c r="G176" s="7" t="n"/>
    </row>
    <row r="177">
      <c r="A177" s="7" t="n"/>
      <c r="B177" s="12">
        <f>IFERROR(INDEX(Produkte!$B$2:$B$301,MATCH(A177,Produkte!$A$2:$A$301,0)),"")</f>
        <v/>
      </c>
      <c r="C177" s="7" t="n"/>
      <c r="D177" s="18" t="n"/>
      <c r="E177" s="7" t="n"/>
      <c r="F177" s="12">
        <f>IF(A177="","",IF(COUNTIF($A$2:$A$301,A177)&gt;1,"FEHLER: Produkt mehrfach aktiv",IF(COUNTIF(Faesser!$A$2:$A$301,C177)=0,"FEHLER: Fassnummer unbekannt",IF(IFERROR(INDEX(Faesser!$B$2:$B$301,MATCH(C177,Faesser!$A$2:$A$301,0)),"")&lt;&gt;A177,"WARNUNG: Fass enthält anderes Produkt","OK"))))</f>
        <v/>
      </c>
      <c r="G177" s="7" t="n"/>
    </row>
    <row r="178">
      <c r="A178" s="7" t="n"/>
      <c r="B178" s="12">
        <f>IFERROR(INDEX(Produkte!$B$2:$B$301,MATCH(A178,Produkte!$A$2:$A$301,0)),"")</f>
        <v/>
      </c>
      <c r="C178" s="7" t="n"/>
      <c r="D178" s="18" t="n"/>
      <c r="E178" s="7" t="n"/>
      <c r="F178" s="12">
        <f>IF(A178="","",IF(COUNTIF($A$2:$A$301,A178)&gt;1,"FEHLER: Produkt mehrfach aktiv",IF(COUNTIF(Faesser!$A$2:$A$301,C178)=0,"FEHLER: Fassnummer unbekannt",IF(IFERROR(INDEX(Faesser!$B$2:$B$301,MATCH(C178,Faesser!$A$2:$A$301,0)),"")&lt;&gt;A178,"WARNUNG: Fass enthält anderes Produkt","OK"))))</f>
        <v/>
      </c>
      <c r="G178" s="7" t="n"/>
    </row>
    <row r="179">
      <c r="A179" s="7" t="n"/>
      <c r="B179" s="12">
        <f>IFERROR(INDEX(Produkte!$B$2:$B$301,MATCH(A179,Produkte!$A$2:$A$301,0)),"")</f>
        <v/>
      </c>
      <c r="C179" s="7" t="n"/>
      <c r="D179" s="18" t="n"/>
      <c r="E179" s="7" t="n"/>
      <c r="F179" s="12">
        <f>IF(A179="","",IF(COUNTIF($A$2:$A$301,A179)&gt;1,"FEHLER: Produkt mehrfach aktiv",IF(COUNTIF(Faesser!$A$2:$A$301,C179)=0,"FEHLER: Fassnummer unbekannt",IF(IFERROR(INDEX(Faesser!$B$2:$B$301,MATCH(C179,Faesser!$A$2:$A$301,0)),"")&lt;&gt;A179,"WARNUNG: Fass enthält anderes Produkt","OK"))))</f>
        <v/>
      </c>
      <c r="G179" s="7" t="n"/>
    </row>
    <row r="180">
      <c r="A180" s="7" t="n"/>
      <c r="B180" s="12">
        <f>IFERROR(INDEX(Produkte!$B$2:$B$301,MATCH(A180,Produkte!$A$2:$A$301,0)),"")</f>
        <v/>
      </c>
      <c r="C180" s="7" t="n"/>
      <c r="D180" s="18" t="n"/>
      <c r="E180" s="7" t="n"/>
      <c r="F180" s="12">
        <f>IF(A180="","",IF(COUNTIF($A$2:$A$301,A180)&gt;1,"FEHLER: Produkt mehrfach aktiv",IF(COUNTIF(Faesser!$A$2:$A$301,C180)=0,"FEHLER: Fassnummer unbekannt",IF(IFERROR(INDEX(Faesser!$B$2:$B$301,MATCH(C180,Faesser!$A$2:$A$301,0)),"")&lt;&gt;A180,"WARNUNG: Fass enthält anderes Produkt","OK"))))</f>
        <v/>
      </c>
      <c r="G180" s="7" t="n"/>
    </row>
    <row r="181">
      <c r="A181" s="7" t="n"/>
      <c r="B181" s="12">
        <f>IFERROR(INDEX(Produkte!$B$2:$B$301,MATCH(A181,Produkte!$A$2:$A$301,0)),"")</f>
        <v/>
      </c>
      <c r="C181" s="7" t="n"/>
      <c r="D181" s="18" t="n"/>
      <c r="E181" s="7" t="n"/>
      <c r="F181" s="12">
        <f>IF(A181="","",IF(COUNTIF($A$2:$A$301,A181)&gt;1,"FEHLER: Produkt mehrfach aktiv",IF(COUNTIF(Faesser!$A$2:$A$301,C181)=0,"FEHLER: Fassnummer unbekannt",IF(IFERROR(INDEX(Faesser!$B$2:$B$301,MATCH(C181,Faesser!$A$2:$A$301,0)),"")&lt;&gt;A181,"WARNUNG: Fass enthält anderes Produkt","OK"))))</f>
        <v/>
      </c>
      <c r="G181" s="7" t="n"/>
    </row>
    <row r="182">
      <c r="A182" s="7" t="n"/>
      <c r="B182" s="12">
        <f>IFERROR(INDEX(Produkte!$B$2:$B$301,MATCH(A182,Produkte!$A$2:$A$301,0)),"")</f>
        <v/>
      </c>
      <c r="C182" s="7" t="n"/>
      <c r="D182" s="18" t="n"/>
      <c r="E182" s="7" t="n"/>
      <c r="F182" s="12">
        <f>IF(A182="","",IF(COUNTIF($A$2:$A$301,A182)&gt;1,"FEHLER: Produkt mehrfach aktiv",IF(COUNTIF(Faesser!$A$2:$A$301,C182)=0,"FEHLER: Fassnummer unbekannt",IF(IFERROR(INDEX(Faesser!$B$2:$B$301,MATCH(C182,Faesser!$A$2:$A$301,0)),"")&lt;&gt;A182,"WARNUNG: Fass enthält anderes Produkt","OK"))))</f>
        <v/>
      </c>
      <c r="G182" s="7" t="n"/>
    </row>
    <row r="183">
      <c r="A183" s="7" t="n"/>
      <c r="B183" s="12">
        <f>IFERROR(INDEX(Produkte!$B$2:$B$301,MATCH(A183,Produkte!$A$2:$A$301,0)),"")</f>
        <v/>
      </c>
      <c r="C183" s="7" t="n"/>
      <c r="D183" s="18" t="n"/>
      <c r="E183" s="7" t="n"/>
      <c r="F183" s="12">
        <f>IF(A183="","",IF(COUNTIF($A$2:$A$301,A183)&gt;1,"FEHLER: Produkt mehrfach aktiv",IF(COUNTIF(Faesser!$A$2:$A$301,C183)=0,"FEHLER: Fassnummer unbekannt",IF(IFERROR(INDEX(Faesser!$B$2:$B$301,MATCH(C183,Faesser!$A$2:$A$301,0)),"")&lt;&gt;A183,"WARNUNG: Fass enthält anderes Produkt","OK"))))</f>
        <v/>
      </c>
      <c r="G183" s="7" t="n"/>
    </row>
    <row r="184">
      <c r="A184" s="7" t="n"/>
      <c r="B184" s="12">
        <f>IFERROR(INDEX(Produkte!$B$2:$B$301,MATCH(A184,Produkte!$A$2:$A$301,0)),"")</f>
        <v/>
      </c>
      <c r="C184" s="7" t="n"/>
      <c r="D184" s="18" t="n"/>
      <c r="E184" s="7" t="n"/>
      <c r="F184" s="12">
        <f>IF(A184="","",IF(COUNTIF($A$2:$A$301,A184)&gt;1,"FEHLER: Produkt mehrfach aktiv",IF(COUNTIF(Faesser!$A$2:$A$301,C184)=0,"FEHLER: Fassnummer unbekannt",IF(IFERROR(INDEX(Faesser!$B$2:$B$301,MATCH(C184,Faesser!$A$2:$A$301,0)),"")&lt;&gt;A184,"WARNUNG: Fass enthält anderes Produkt","OK"))))</f>
        <v/>
      </c>
      <c r="G184" s="7" t="n"/>
    </row>
    <row r="185">
      <c r="A185" s="7" t="n"/>
      <c r="B185" s="12">
        <f>IFERROR(INDEX(Produkte!$B$2:$B$301,MATCH(A185,Produkte!$A$2:$A$301,0)),"")</f>
        <v/>
      </c>
      <c r="C185" s="7" t="n"/>
      <c r="D185" s="18" t="n"/>
      <c r="E185" s="7" t="n"/>
      <c r="F185" s="12">
        <f>IF(A185="","",IF(COUNTIF($A$2:$A$301,A185)&gt;1,"FEHLER: Produkt mehrfach aktiv",IF(COUNTIF(Faesser!$A$2:$A$301,C185)=0,"FEHLER: Fassnummer unbekannt",IF(IFERROR(INDEX(Faesser!$B$2:$B$301,MATCH(C185,Faesser!$A$2:$A$301,0)),"")&lt;&gt;A185,"WARNUNG: Fass enthält anderes Produkt","OK"))))</f>
        <v/>
      </c>
      <c r="G185" s="7" t="n"/>
    </row>
    <row r="186">
      <c r="A186" s="7" t="n"/>
      <c r="B186" s="12">
        <f>IFERROR(INDEX(Produkte!$B$2:$B$301,MATCH(A186,Produkte!$A$2:$A$301,0)),"")</f>
        <v/>
      </c>
      <c r="C186" s="7" t="n"/>
      <c r="D186" s="18" t="n"/>
      <c r="E186" s="7" t="n"/>
      <c r="F186" s="12">
        <f>IF(A186="","",IF(COUNTIF($A$2:$A$301,A186)&gt;1,"FEHLER: Produkt mehrfach aktiv",IF(COUNTIF(Faesser!$A$2:$A$301,C186)=0,"FEHLER: Fassnummer unbekannt",IF(IFERROR(INDEX(Faesser!$B$2:$B$301,MATCH(C186,Faesser!$A$2:$A$301,0)),"")&lt;&gt;A186,"WARNUNG: Fass enthält anderes Produkt","OK"))))</f>
        <v/>
      </c>
      <c r="G186" s="7" t="n"/>
    </row>
    <row r="187">
      <c r="A187" s="7" t="n"/>
      <c r="B187" s="12">
        <f>IFERROR(INDEX(Produkte!$B$2:$B$301,MATCH(A187,Produkte!$A$2:$A$301,0)),"")</f>
        <v/>
      </c>
      <c r="C187" s="7" t="n"/>
      <c r="D187" s="18" t="n"/>
      <c r="E187" s="7" t="n"/>
      <c r="F187" s="12">
        <f>IF(A187="","",IF(COUNTIF($A$2:$A$301,A187)&gt;1,"FEHLER: Produkt mehrfach aktiv",IF(COUNTIF(Faesser!$A$2:$A$301,C187)=0,"FEHLER: Fassnummer unbekannt",IF(IFERROR(INDEX(Faesser!$B$2:$B$301,MATCH(C187,Faesser!$A$2:$A$301,0)),"")&lt;&gt;A187,"WARNUNG: Fass enthält anderes Produkt","OK"))))</f>
        <v/>
      </c>
      <c r="G187" s="7" t="n"/>
    </row>
    <row r="188">
      <c r="A188" s="7" t="n"/>
      <c r="B188" s="12">
        <f>IFERROR(INDEX(Produkte!$B$2:$B$301,MATCH(A188,Produkte!$A$2:$A$301,0)),"")</f>
        <v/>
      </c>
      <c r="C188" s="7" t="n"/>
      <c r="D188" s="18" t="n"/>
      <c r="E188" s="7" t="n"/>
      <c r="F188" s="12">
        <f>IF(A188="","",IF(COUNTIF($A$2:$A$301,A188)&gt;1,"FEHLER: Produkt mehrfach aktiv",IF(COUNTIF(Faesser!$A$2:$A$301,C188)=0,"FEHLER: Fassnummer unbekannt",IF(IFERROR(INDEX(Faesser!$B$2:$B$301,MATCH(C188,Faesser!$A$2:$A$301,0)),"")&lt;&gt;A188,"WARNUNG: Fass enthält anderes Produkt","OK"))))</f>
        <v/>
      </c>
      <c r="G188" s="7" t="n"/>
    </row>
    <row r="189">
      <c r="A189" s="7" t="n"/>
      <c r="B189" s="12">
        <f>IFERROR(INDEX(Produkte!$B$2:$B$301,MATCH(A189,Produkte!$A$2:$A$301,0)),"")</f>
        <v/>
      </c>
      <c r="C189" s="7" t="n"/>
      <c r="D189" s="18" t="n"/>
      <c r="E189" s="7" t="n"/>
      <c r="F189" s="12">
        <f>IF(A189="","",IF(COUNTIF($A$2:$A$301,A189)&gt;1,"FEHLER: Produkt mehrfach aktiv",IF(COUNTIF(Faesser!$A$2:$A$301,C189)=0,"FEHLER: Fassnummer unbekannt",IF(IFERROR(INDEX(Faesser!$B$2:$B$301,MATCH(C189,Faesser!$A$2:$A$301,0)),"")&lt;&gt;A189,"WARNUNG: Fass enthält anderes Produkt","OK"))))</f>
        <v/>
      </c>
      <c r="G189" s="7" t="n"/>
    </row>
    <row r="190">
      <c r="A190" s="7" t="n"/>
      <c r="B190" s="12">
        <f>IFERROR(INDEX(Produkte!$B$2:$B$301,MATCH(A190,Produkte!$A$2:$A$301,0)),"")</f>
        <v/>
      </c>
      <c r="C190" s="7" t="n"/>
      <c r="D190" s="18" t="n"/>
      <c r="E190" s="7" t="n"/>
      <c r="F190" s="12">
        <f>IF(A190="","",IF(COUNTIF($A$2:$A$301,A190)&gt;1,"FEHLER: Produkt mehrfach aktiv",IF(COUNTIF(Faesser!$A$2:$A$301,C190)=0,"FEHLER: Fassnummer unbekannt",IF(IFERROR(INDEX(Faesser!$B$2:$B$301,MATCH(C190,Faesser!$A$2:$A$301,0)),"")&lt;&gt;A190,"WARNUNG: Fass enthält anderes Produkt","OK"))))</f>
        <v/>
      </c>
      <c r="G190" s="7" t="n"/>
    </row>
    <row r="191">
      <c r="A191" s="7" t="n"/>
      <c r="B191" s="12">
        <f>IFERROR(INDEX(Produkte!$B$2:$B$301,MATCH(A191,Produkte!$A$2:$A$301,0)),"")</f>
        <v/>
      </c>
      <c r="C191" s="7" t="n"/>
      <c r="D191" s="18" t="n"/>
      <c r="E191" s="7" t="n"/>
      <c r="F191" s="12">
        <f>IF(A191="","",IF(COUNTIF($A$2:$A$301,A191)&gt;1,"FEHLER: Produkt mehrfach aktiv",IF(COUNTIF(Faesser!$A$2:$A$301,C191)=0,"FEHLER: Fassnummer unbekannt",IF(IFERROR(INDEX(Faesser!$B$2:$B$301,MATCH(C191,Faesser!$A$2:$A$301,0)),"")&lt;&gt;A191,"WARNUNG: Fass enthält anderes Produkt","OK"))))</f>
        <v/>
      </c>
      <c r="G191" s="7" t="n"/>
    </row>
    <row r="192">
      <c r="A192" s="7" t="n"/>
      <c r="B192" s="12">
        <f>IFERROR(INDEX(Produkte!$B$2:$B$301,MATCH(A192,Produkte!$A$2:$A$301,0)),"")</f>
        <v/>
      </c>
      <c r="C192" s="7" t="n"/>
      <c r="D192" s="18" t="n"/>
      <c r="E192" s="7" t="n"/>
      <c r="F192" s="12">
        <f>IF(A192="","",IF(COUNTIF($A$2:$A$301,A192)&gt;1,"FEHLER: Produkt mehrfach aktiv",IF(COUNTIF(Faesser!$A$2:$A$301,C192)=0,"FEHLER: Fassnummer unbekannt",IF(IFERROR(INDEX(Faesser!$B$2:$B$301,MATCH(C192,Faesser!$A$2:$A$301,0)),"")&lt;&gt;A192,"WARNUNG: Fass enthält anderes Produkt","OK"))))</f>
        <v/>
      </c>
      <c r="G192" s="7" t="n"/>
    </row>
    <row r="193">
      <c r="A193" s="7" t="n"/>
      <c r="B193" s="12">
        <f>IFERROR(INDEX(Produkte!$B$2:$B$301,MATCH(A193,Produkte!$A$2:$A$301,0)),"")</f>
        <v/>
      </c>
      <c r="C193" s="7" t="n"/>
      <c r="D193" s="18" t="n"/>
      <c r="E193" s="7" t="n"/>
      <c r="F193" s="12">
        <f>IF(A193="","",IF(COUNTIF($A$2:$A$301,A193)&gt;1,"FEHLER: Produkt mehrfach aktiv",IF(COUNTIF(Faesser!$A$2:$A$301,C193)=0,"FEHLER: Fassnummer unbekannt",IF(IFERROR(INDEX(Faesser!$B$2:$B$301,MATCH(C193,Faesser!$A$2:$A$301,0)),"")&lt;&gt;A193,"WARNUNG: Fass enthält anderes Produkt","OK"))))</f>
        <v/>
      </c>
      <c r="G193" s="7" t="n"/>
    </row>
    <row r="194">
      <c r="A194" s="7" t="n"/>
      <c r="B194" s="12">
        <f>IFERROR(INDEX(Produkte!$B$2:$B$301,MATCH(A194,Produkte!$A$2:$A$301,0)),"")</f>
        <v/>
      </c>
      <c r="C194" s="7" t="n"/>
      <c r="D194" s="18" t="n"/>
      <c r="E194" s="7" t="n"/>
      <c r="F194" s="12">
        <f>IF(A194="","",IF(COUNTIF($A$2:$A$301,A194)&gt;1,"FEHLER: Produkt mehrfach aktiv",IF(COUNTIF(Faesser!$A$2:$A$301,C194)=0,"FEHLER: Fassnummer unbekannt",IF(IFERROR(INDEX(Faesser!$B$2:$B$301,MATCH(C194,Faesser!$A$2:$A$301,0)),"")&lt;&gt;A194,"WARNUNG: Fass enthält anderes Produkt","OK"))))</f>
        <v/>
      </c>
      <c r="G194" s="7" t="n"/>
    </row>
    <row r="195">
      <c r="A195" s="7" t="n"/>
      <c r="B195" s="12">
        <f>IFERROR(INDEX(Produkte!$B$2:$B$301,MATCH(A195,Produkte!$A$2:$A$301,0)),"")</f>
        <v/>
      </c>
      <c r="C195" s="7" t="n"/>
      <c r="D195" s="18" t="n"/>
      <c r="E195" s="7" t="n"/>
      <c r="F195" s="12">
        <f>IF(A195="","",IF(COUNTIF($A$2:$A$301,A195)&gt;1,"FEHLER: Produkt mehrfach aktiv",IF(COUNTIF(Faesser!$A$2:$A$301,C195)=0,"FEHLER: Fassnummer unbekannt",IF(IFERROR(INDEX(Faesser!$B$2:$B$301,MATCH(C195,Faesser!$A$2:$A$301,0)),"")&lt;&gt;A195,"WARNUNG: Fass enthält anderes Produkt","OK"))))</f>
        <v/>
      </c>
      <c r="G195" s="7" t="n"/>
    </row>
    <row r="196">
      <c r="A196" s="7" t="n"/>
      <c r="B196" s="12">
        <f>IFERROR(INDEX(Produkte!$B$2:$B$301,MATCH(A196,Produkte!$A$2:$A$301,0)),"")</f>
        <v/>
      </c>
      <c r="C196" s="7" t="n"/>
      <c r="D196" s="18" t="n"/>
      <c r="E196" s="7" t="n"/>
      <c r="F196" s="12">
        <f>IF(A196="","",IF(COUNTIF($A$2:$A$301,A196)&gt;1,"FEHLER: Produkt mehrfach aktiv",IF(COUNTIF(Faesser!$A$2:$A$301,C196)=0,"FEHLER: Fassnummer unbekannt",IF(IFERROR(INDEX(Faesser!$B$2:$B$301,MATCH(C196,Faesser!$A$2:$A$301,0)),"")&lt;&gt;A196,"WARNUNG: Fass enthält anderes Produkt","OK"))))</f>
        <v/>
      </c>
      <c r="G196" s="7" t="n"/>
    </row>
    <row r="197">
      <c r="A197" s="7" t="n"/>
      <c r="B197" s="12">
        <f>IFERROR(INDEX(Produkte!$B$2:$B$301,MATCH(A197,Produkte!$A$2:$A$301,0)),"")</f>
        <v/>
      </c>
      <c r="C197" s="7" t="n"/>
      <c r="D197" s="18" t="n"/>
      <c r="E197" s="7" t="n"/>
      <c r="F197" s="12">
        <f>IF(A197="","",IF(COUNTIF($A$2:$A$301,A197)&gt;1,"FEHLER: Produkt mehrfach aktiv",IF(COUNTIF(Faesser!$A$2:$A$301,C197)=0,"FEHLER: Fassnummer unbekannt",IF(IFERROR(INDEX(Faesser!$B$2:$B$301,MATCH(C197,Faesser!$A$2:$A$301,0)),"")&lt;&gt;A197,"WARNUNG: Fass enthält anderes Produkt","OK"))))</f>
        <v/>
      </c>
      <c r="G197" s="7" t="n"/>
    </row>
    <row r="198">
      <c r="A198" s="7" t="n"/>
      <c r="B198" s="12">
        <f>IFERROR(INDEX(Produkte!$B$2:$B$301,MATCH(A198,Produkte!$A$2:$A$301,0)),"")</f>
        <v/>
      </c>
      <c r="C198" s="7" t="n"/>
      <c r="D198" s="18" t="n"/>
      <c r="E198" s="7" t="n"/>
      <c r="F198" s="12">
        <f>IF(A198="","",IF(COUNTIF($A$2:$A$301,A198)&gt;1,"FEHLER: Produkt mehrfach aktiv",IF(COUNTIF(Faesser!$A$2:$A$301,C198)=0,"FEHLER: Fassnummer unbekannt",IF(IFERROR(INDEX(Faesser!$B$2:$B$301,MATCH(C198,Faesser!$A$2:$A$301,0)),"")&lt;&gt;A198,"WARNUNG: Fass enthält anderes Produkt","OK"))))</f>
        <v/>
      </c>
      <c r="G198" s="7" t="n"/>
    </row>
    <row r="199">
      <c r="A199" s="7" t="n"/>
      <c r="B199" s="12">
        <f>IFERROR(INDEX(Produkte!$B$2:$B$301,MATCH(A199,Produkte!$A$2:$A$301,0)),"")</f>
        <v/>
      </c>
      <c r="C199" s="7" t="n"/>
      <c r="D199" s="18" t="n"/>
      <c r="E199" s="7" t="n"/>
      <c r="F199" s="12">
        <f>IF(A199="","",IF(COUNTIF($A$2:$A$301,A199)&gt;1,"FEHLER: Produkt mehrfach aktiv",IF(COUNTIF(Faesser!$A$2:$A$301,C199)=0,"FEHLER: Fassnummer unbekannt",IF(IFERROR(INDEX(Faesser!$B$2:$B$301,MATCH(C199,Faesser!$A$2:$A$301,0)),"")&lt;&gt;A199,"WARNUNG: Fass enthält anderes Produkt","OK"))))</f>
        <v/>
      </c>
      <c r="G199" s="7" t="n"/>
    </row>
    <row r="200">
      <c r="A200" s="7" t="n"/>
      <c r="B200" s="12">
        <f>IFERROR(INDEX(Produkte!$B$2:$B$301,MATCH(A200,Produkte!$A$2:$A$301,0)),"")</f>
        <v/>
      </c>
      <c r="C200" s="7" t="n"/>
      <c r="D200" s="18" t="n"/>
      <c r="E200" s="7" t="n"/>
      <c r="F200" s="12">
        <f>IF(A200="","",IF(COUNTIF($A$2:$A$301,A200)&gt;1,"FEHLER: Produkt mehrfach aktiv",IF(COUNTIF(Faesser!$A$2:$A$301,C200)=0,"FEHLER: Fassnummer unbekannt",IF(IFERROR(INDEX(Faesser!$B$2:$B$301,MATCH(C200,Faesser!$A$2:$A$301,0)),"")&lt;&gt;A200,"WARNUNG: Fass enthält anderes Produkt","OK"))))</f>
        <v/>
      </c>
      <c r="G200" s="7" t="n"/>
    </row>
    <row r="201">
      <c r="A201" s="7" t="n"/>
      <c r="B201" s="12">
        <f>IFERROR(INDEX(Produkte!$B$2:$B$301,MATCH(A201,Produkte!$A$2:$A$301,0)),"")</f>
        <v/>
      </c>
      <c r="C201" s="7" t="n"/>
      <c r="D201" s="18" t="n"/>
      <c r="E201" s="7" t="n"/>
      <c r="F201" s="12">
        <f>IF(A201="","",IF(COUNTIF($A$2:$A$301,A201)&gt;1,"FEHLER: Produkt mehrfach aktiv",IF(COUNTIF(Faesser!$A$2:$A$301,C201)=0,"FEHLER: Fassnummer unbekannt",IF(IFERROR(INDEX(Faesser!$B$2:$B$301,MATCH(C201,Faesser!$A$2:$A$301,0)),"")&lt;&gt;A201,"WARNUNG: Fass enthält anderes Produkt","OK"))))</f>
        <v/>
      </c>
      <c r="G201" s="7" t="n"/>
    </row>
    <row r="202">
      <c r="A202" s="7" t="n"/>
      <c r="B202" s="12">
        <f>IFERROR(INDEX(Produkte!$B$2:$B$301,MATCH(A202,Produkte!$A$2:$A$301,0)),"")</f>
        <v/>
      </c>
      <c r="C202" s="7" t="n"/>
      <c r="D202" s="18" t="n"/>
      <c r="E202" s="7" t="n"/>
      <c r="F202" s="12">
        <f>IF(A202="","",IF(COUNTIF($A$2:$A$301,A202)&gt;1,"FEHLER: Produkt mehrfach aktiv",IF(COUNTIF(Faesser!$A$2:$A$301,C202)=0,"FEHLER: Fassnummer unbekannt",IF(IFERROR(INDEX(Faesser!$B$2:$B$301,MATCH(C202,Faesser!$A$2:$A$301,0)),"")&lt;&gt;A202,"WARNUNG: Fass enthält anderes Produkt","OK"))))</f>
        <v/>
      </c>
      <c r="G202" s="7" t="n"/>
    </row>
    <row r="203">
      <c r="A203" s="7" t="n"/>
      <c r="B203" s="12">
        <f>IFERROR(INDEX(Produkte!$B$2:$B$301,MATCH(A203,Produkte!$A$2:$A$301,0)),"")</f>
        <v/>
      </c>
      <c r="C203" s="7" t="n"/>
      <c r="D203" s="18" t="n"/>
      <c r="E203" s="7" t="n"/>
      <c r="F203" s="12">
        <f>IF(A203="","",IF(COUNTIF($A$2:$A$301,A203)&gt;1,"FEHLER: Produkt mehrfach aktiv",IF(COUNTIF(Faesser!$A$2:$A$301,C203)=0,"FEHLER: Fassnummer unbekannt",IF(IFERROR(INDEX(Faesser!$B$2:$B$301,MATCH(C203,Faesser!$A$2:$A$301,0)),"")&lt;&gt;A203,"WARNUNG: Fass enthält anderes Produkt","OK"))))</f>
        <v/>
      </c>
      <c r="G203" s="7" t="n"/>
    </row>
    <row r="204">
      <c r="A204" s="7" t="n"/>
      <c r="B204" s="12">
        <f>IFERROR(INDEX(Produkte!$B$2:$B$301,MATCH(A204,Produkte!$A$2:$A$301,0)),"")</f>
        <v/>
      </c>
      <c r="C204" s="7" t="n"/>
      <c r="D204" s="18" t="n"/>
      <c r="E204" s="7" t="n"/>
      <c r="F204" s="12">
        <f>IF(A204="","",IF(COUNTIF($A$2:$A$301,A204)&gt;1,"FEHLER: Produkt mehrfach aktiv",IF(COUNTIF(Faesser!$A$2:$A$301,C204)=0,"FEHLER: Fassnummer unbekannt",IF(IFERROR(INDEX(Faesser!$B$2:$B$301,MATCH(C204,Faesser!$A$2:$A$301,0)),"")&lt;&gt;A204,"WARNUNG: Fass enthält anderes Produkt","OK"))))</f>
        <v/>
      </c>
      <c r="G204" s="7" t="n"/>
    </row>
    <row r="205">
      <c r="A205" s="7" t="n"/>
      <c r="B205" s="12">
        <f>IFERROR(INDEX(Produkte!$B$2:$B$301,MATCH(A205,Produkte!$A$2:$A$301,0)),"")</f>
        <v/>
      </c>
      <c r="C205" s="7" t="n"/>
      <c r="D205" s="18" t="n"/>
      <c r="E205" s="7" t="n"/>
      <c r="F205" s="12">
        <f>IF(A205="","",IF(COUNTIF($A$2:$A$301,A205)&gt;1,"FEHLER: Produkt mehrfach aktiv",IF(COUNTIF(Faesser!$A$2:$A$301,C205)=0,"FEHLER: Fassnummer unbekannt",IF(IFERROR(INDEX(Faesser!$B$2:$B$301,MATCH(C205,Faesser!$A$2:$A$301,0)),"")&lt;&gt;A205,"WARNUNG: Fass enthält anderes Produkt","OK"))))</f>
        <v/>
      </c>
      <c r="G205" s="7" t="n"/>
    </row>
    <row r="206">
      <c r="A206" s="7" t="n"/>
      <c r="B206" s="12">
        <f>IFERROR(INDEX(Produkte!$B$2:$B$301,MATCH(A206,Produkte!$A$2:$A$301,0)),"")</f>
        <v/>
      </c>
      <c r="C206" s="7" t="n"/>
      <c r="D206" s="18" t="n"/>
      <c r="E206" s="7" t="n"/>
      <c r="F206" s="12">
        <f>IF(A206="","",IF(COUNTIF($A$2:$A$301,A206)&gt;1,"FEHLER: Produkt mehrfach aktiv",IF(COUNTIF(Faesser!$A$2:$A$301,C206)=0,"FEHLER: Fassnummer unbekannt",IF(IFERROR(INDEX(Faesser!$B$2:$B$301,MATCH(C206,Faesser!$A$2:$A$301,0)),"")&lt;&gt;A206,"WARNUNG: Fass enthält anderes Produkt","OK"))))</f>
        <v/>
      </c>
      <c r="G206" s="7" t="n"/>
    </row>
    <row r="207">
      <c r="A207" s="7" t="n"/>
      <c r="B207" s="12">
        <f>IFERROR(INDEX(Produkte!$B$2:$B$301,MATCH(A207,Produkte!$A$2:$A$301,0)),"")</f>
        <v/>
      </c>
      <c r="C207" s="7" t="n"/>
      <c r="D207" s="18" t="n"/>
      <c r="E207" s="7" t="n"/>
      <c r="F207" s="12">
        <f>IF(A207="","",IF(COUNTIF($A$2:$A$301,A207)&gt;1,"FEHLER: Produkt mehrfach aktiv",IF(COUNTIF(Faesser!$A$2:$A$301,C207)=0,"FEHLER: Fassnummer unbekannt",IF(IFERROR(INDEX(Faesser!$B$2:$B$301,MATCH(C207,Faesser!$A$2:$A$301,0)),"")&lt;&gt;A207,"WARNUNG: Fass enthält anderes Produkt","OK"))))</f>
        <v/>
      </c>
      <c r="G207" s="7" t="n"/>
    </row>
    <row r="208">
      <c r="A208" s="7" t="n"/>
      <c r="B208" s="12">
        <f>IFERROR(INDEX(Produkte!$B$2:$B$301,MATCH(A208,Produkte!$A$2:$A$301,0)),"")</f>
        <v/>
      </c>
      <c r="C208" s="7" t="n"/>
      <c r="D208" s="18" t="n"/>
      <c r="E208" s="7" t="n"/>
      <c r="F208" s="12">
        <f>IF(A208="","",IF(COUNTIF($A$2:$A$301,A208)&gt;1,"FEHLER: Produkt mehrfach aktiv",IF(COUNTIF(Faesser!$A$2:$A$301,C208)=0,"FEHLER: Fassnummer unbekannt",IF(IFERROR(INDEX(Faesser!$B$2:$B$301,MATCH(C208,Faesser!$A$2:$A$301,0)),"")&lt;&gt;A208,"WARNUNG: Fass enthält anderes Produkt","OK"))))</f>
        <v/>
      </c>
      <c r="G208" s="7" t="n"/>
    </row>
    <row r="209">
      <c r="A209" s="7" t="n"/>
      <c r="B209" s="12">
        <f>IFERROR(INDEX(Produkte!$B$2:$B$301,MATCH(A209,Produkte!$A$2:$A$301,0)),"")</f>
        <v/>
      </c>
      <c r="C209" s="7" t="n"/>
      <c r="D209" s="18" t="n"/>
      <c r="E209" s="7" t="n"/>
      <c r="F209" s="12">
        <f>IF(A209="","",IF(COUNTIF($A$2:$A$301,A209)&gt;1,"FEHLER: Produkt mehrfach aktiv",IF(COUNTIF(Faesser!$A$2:$A$301,C209)=0,"FEHLER: Fassnummer unbekannt",IF(IFERROR(INDEX(Faesser!$B$2:$B$301,MATCH(C209,Faesser!$A$2:$A$301,0)),"")&lt;&gt;A209,"WARNUNG: Fass enthält anderes Produkt","OK"))))</f>
        <v/>
      </c>
      <c r="G209" s="7" t="n"/>
    </row>
    <row r="210">
      <c r="A210" s="7" t="n"/>
      <c r="B210" s="12">
        <f>IFERROR(INDEX(Produkte!$B$2:$B$301,MATCH(A210,Produkte!$A$2:$A$301,0)),"")</f>
        <v/>
      </c>
      <c r="C210" s="7" t="n"/>
      <c r="D210" s="18" t="n"/>
      <c r="E210" s="7" t="n"/>
      <c r="F210" s="12">
        <f>IF(A210="","",IF(COUNTIF($A$2:$A$301,A210)&gt;1,"FEHLER: Produkt mehrfach aktiv",IF(COUNTIF(Faesser!$A$2:$A$301,C210)=0,"FEHLER: Fassnummer unbekannt",IF(IFERROR(INDEX(Faesser!$B$2:$B$301,MATCH(C210,Faesser!$A$2:$A$301,0)),"")&lt;&gt;A210,"WARNUNG: Fass enthält anderes Produkt","OK"))))</f>
        <v/>
      </c>
      <c r="G210" s="7" t="n"/>
    </row>
    <row r="211">
      <c r="A211" s="7" t="n"/>
      <c r="B211" s="12">
        <f>IFERROR(INDEX(Produkte!$B$2:$B$301,MATCH(A211,Produkte!$A$2:$A$301,0)),"")</f>
        <v/>
      </c>
      <c r="C211" s="7" t="n"/>
      <c r="D211" s="18" t="n"/>
      <c r="E211" s="7" t="n"/>
      <c r="F211" s="12">
        <f>IF(A211="","",IF(COUNTIF($A$2:$A$301,A211)&gt;1,"FEHLER: Produkt mehrfach aktiv",IF(COUNTIF(Faesser!$A$2:$A$301,C211)=0,"FEHLER: Fassnummer unbekannt",IF(IFERROR(INDEX(Faesser!$B$2:$B$301,MATCH(C211,Faesser!$A$2:$A$301,0)),"")&lt;&gt;A211,"WARNUNG: Fass enthält anderes Produkt","OK"))))</f>
        <v/>
      </c>
      <c r="G211" s="7" t="n"/>
    </row>
    <row r="212">
      <c r="A212" s="7" t="n"/>
      <c r="B212" s="12">
        <f>IFERROR(INDEX(Produkte!$B$2:$B$301,MATCH(A212,Produkte!$A$2:$A$301,0)),"")</f>
        <v/>
      </c>
      <c r="C212" s="7" t="n"/>
      <c r="D212" s="18" t="n"/>
      <c r="E212" s="7" t="n"/>
      <c r="F212" s="12">
        <f>IF(A212="","",IF(COUNTIF($A$2:$A$301,A212)&gt;1,"FEHLER: Produkt mehrfach aktiv",IF(COUNTIF(Faesser!$A$2:$A$301,C212)=0,"FEHLER: Fassnummer unbekannt",IF(IFERROR(INDEX(Faesser!$B$2:$B$301,MATCH(C212,Faesser!$A$2:$A$301,0)),"")&lt;&gt;A212,"WARNUNG: Fass enthält anderes Produkt","OK"))))</f>
        <v/>
      </c>
      <c r="G212" s="7" t="n"/>
    </row>
    <row r="213">
      <c r="A213" s="7" t="n"/>
      <c r="B213" s="12">
        <f>IFERROR(INDEX(Produkte!$B$2:$B$301,MATCH(A213,Produkte!$A$2:$A$301,0)),"")</f>
        <v/>
      </c>
      <c r="C213" s="7" t="n"/>
      <c r="D213" s="18" t="n"/>
      <c r="E213" s="7" t="n"/>
      <c r="F213" s="12">
        <f>IF(A213="","",IF(COUNTIF($A$2:$A$301,A213)&gt;1,"FEHLER: Produkt mehrfach aktiv",IF(COUNTIF(Faesser!$A$2:$A$301,C213)=0,"FEHLER: Fassnummer unbekannt",IF(IFERROR(INDEX(Faesser!$B$2:$B$301,MATCH(C213,Faesser!$A$2:$A$301,0)),"")&lt;&gt;A213,"WARNUNG: Fass enthält anderes Produkt","OK"))))</f>
        <v/>
      </c>
      <c r="G213" s="7" t="n"/>
    </row>
    <row r="214">
      <c r="A214" s="7" t="n"/>
      <c r="B214" s="12">
        <f>IFERROR(INDEX(Produkte!$B$2:$B$301,MATCH(A214,Produkte!$A$2:$A$301,0)),"")</f>
        <v/>
      </c>
      <c r="C214" s="7" t="n"/>
      <c r="D214" s="18" t="n"/>
      <c r="E214" s="7" t="n"/>
      <c r="F214" s="12">
        <f>IF(A214="","",IF(COUNTIF($A$2:$A$301,A214)&gt;1,"FEHLER: Produkt mehrfach aktiv",IF(COUNTIF(Faesser!$A$2:$A$301,C214)=0,"FEHLER: Fassnummer unbekannt",IF(IFERROR(INDEX(Faesser!$B$2:$B$301,MATCH(C214,Faesser!$A$2:$A$301,0)),"")&lt;&gt;A214,"WARNUNG: Fass enthält anderes Produkt","OK"))))</f>
        <v/>
      </c>
      <c r="G214" s="7" t="n"/>
    </row>
    <row r="215">
      <c r="A215" s="7" t="n"/>
      <c r="B215" s="12">
        <f>IFERROR(INDEX(Produkte!$B$2:$B$301,MATCH(A215,Produkte!$A$2:$A$301,0)),"")</f>
        <v/>
      </c>
      <c r="C215" s="7" t="n"/>
      <c r="D215" s="18" t="n"/>
      <c r="E215" s="7" t="n"/>
      <c r="F215" s="12">
        <f>IF(A215="","",IF(COUNTIF($A$2:$A$301,A215)&gt;1,"FEHLER: Produkt mehrfach aktiv",IF(COUNTIF(Faesser!$A$2:$A$301,C215)=0,"FEHLER: Fassnummer unbekannt",IF(IFERROR(INDEX(Faesser!$B$2:$B$301,MATCH(C215,Faesser!$A$2:$A$301,0)),"")&lt;&gt;A215,"WARNUNG: Fass enthält anderes Produkt","OK"))))</f>
        <v/>
      </c>
      <c r="G215" s="7" t="n"/>
    </row>
    <row r="216">
      <c r="A216" s="7" t="n"/>
      <c r="B216" s="12">
        <f>IFERROR(INDEX(Produkte!$B$2:$B$301,MATCH(A216,Produkte!$A$2:$A$301,0)),"")</f>
        <v/>
      </c>
      <c r="C216" s="7" t="n"/>
      <c r="D216" s="18" t="n"/>
      <c r="E216" s="7" t="n"/>
      <c r="F216" s="12">
        <f>IF(A216="","",IF(COUNTIF($A$2:$A$301,A216)&gt;1,"FEHLER: Produkt mehrfach aktiv",IF(COUNTIF(Faesser!$A$2:$A$301,C216)=0,"FEHLER: Fassnummer unbekannt",IF(IFERROR(INDEX(Faesser!$B$2:$B$301,MATCH(C216,Faesser!$A$2:$A$301,0)),"")&lt;&gt;A216,"WARNUNG: Fass enthält anderes Produkt","OK"))))</f>
        <v/>
      </c>
      <c r="G216" s="7" t="n"/>
    </row>
    <row r="217">
      <c r="A217" s="7" t="n"/>
      <c r="B217" s="12">
        <f>IFERROR(INDEX(Produkte!$B$2:$B$301,MATCH(A217,Produkte!$A$2:$A$301,0)),"")</f>
        <v/>
      </c>
      <c r="C217" s="7" t="n"/>
      <c r="D217" s="18" t="n"/>
      <c r="E217" s="7" t="n"/>
      <c r="F217" s="12">
        <f>IF(A217="","",IF(COUNTIF($A$2:$A$301,A217)&gt;1,"FEHLER: Produkt mehrfach aktiv",IF(COUNTIF(Faesser!$A$2:$A$301,C217)=0,"FEHLER: Fassnummer unbekannt",IF(IFERROR(INDEX(Faesser!$B$2:$B$301,MATCH(C217,Faesser!$A$2:$A$301,0)),"")&lt;&gt;A217,"WARNUNG: Fass enthält anderes Produkt","OK"))))</f>
        <v/>
      </c>
      <c r="G217" s="7" t="n"/>
    </row>
    <row r="218">
      <c r="A218" s="7" t="n"/>
      <c r="B218" s="12">
        <f>IFERROR(INDEX(Produkte!$B$2:$B$301,MATCH(A218,Produkte!$A$2:$A$301,0)),"")</f>
        <v/>
      </c>
      <c r="C218" s="7" t="n"/>
      <c r="D218" s="18" t="n"/>
      <c r="E218" s="7" t="n"/>
      <c r="F218" s="12">
        <f>IF(A218="","",IF(COUNTIF($A$2:$A$301,A218)&gt;1,"FEHLER: Produkt mehrfach aktiv",IF(COUNTIF(Faesser!$A$2:$A$301,C218)=0,"FEHLER: Fassnummer unbekannt",IF(IFERROR(INDEX(Faesser!$B$2:$B$301,MATCH(C218,Faesser!$A$2:$A$301,0)),"")&lt;&gt;A218,"WARNUNG: Fass enthält anderes Produkt","OK"))))</f>
        <v/>
      </c>
      <c r="G218" s="7" t="n"/>
    </row>
    <row r="219">
      <c r="A219" s="7" t="n"/>
      <c r="B219" s="12">
        <f>IFERROR(INDEX(Produkte!$B$2:$B$301,MATCH(A219,Produkte!$A$2:$A$301,0)),"")</f>
        <v/>
      </c>
      <c r="C219" s="7" t="n"/>
      <c r="D219" s="18" t="n"/>
      <c r="E219" s="7" t="n"/>
      <c r="F219" s="12">
        <f>IF(A219="","",IF(COUNTIF($A$2:$A$301,A219)&gt;1,"FEHLER: Produkt mehrfach aktiv",IF(COUNTIF(Faesser!$A$2:$A$301,C219)=0,"FEHLER: Fassnummer unbekannt",IF(IFERROR(INDEX(Faesser!$B$2:$B$301,MATCH(C219,Faesser!$A$2:$A$301,0)),"")&lt;&gt;A219,"WARNUNG: Fass enthält anderes Produkt","OK"))))</f>
        <v/>
      </c>
      <c r="G219" s="7" t="n"/>
    </row>
    <row r="220">
      <c r="A220" s="7" t="n"/>
      <c r="B220" s="12">
        <f>IFERROR(INDEX(Produkte!$B$2:$B$301,MATCH(A220,Produkte!$A$2:$A$301,0)),"")</f>
        <v/>
      </c>
      <c r="C220" s="7" t="n"/>
      <c r="D220" s="18" t="n"/>
      <c r="E220" s="7" t="n"/>
      <c r="F220" s="12">
        <f>IF(A220="","",IF(COUNTIF($A$2:$A$301,A220)&gt;1,"FEHLER: Produkt mehrfach aktiv",IF(COUNTIF(Faesser!$A$2:$A$301,C220)=0,"FEHLER: Fassnummer unbekannt",IF(IFERROR(INDEX(Faesser!$B$2:$B$301,MATCH(C220,Faesser!$A$2:$A$301,0)),"")&lt;&gt;A220,"WARNUNG: Fass enthält anderes Produkt","OK"))))</f>
        <v/>
      </c>
      <c r="G220" s="7" t="n"/>
    </row>
    <row r="221">
      <c r="A221" s="7" t="n"/>
      <c r="B221" s="12">
        <f>IFERROR(INDEX(Produkte!$B$2:$B$301,MATCH(A221,Produkte!$A$2:$A$301,0)),"")</f>
        <v/>
      </c>
      <c r="C221" s="7" t="n"/>
      <c r="D221" s="18" t="n"/>
      <c r="E221" s="7" t="n"/>
      <c r="F221" s="12">
        <f>IF(A221="","",IF(COUNTIF($A$2:$A$301,A221)&gt;1,"FEHLER: Produkt mehrfach aktiv",IF(COUNTIF(Faesser!$A$2:$A$301,C221)=0,"FEHLER: Fassnummer unbekannt",IF(IFERROR(INDEX(Faesser!$B$2:$B$301,MATCH(C221,Faesser!$A$2:$A$301,0)),"")&lt;&gt;A221,"WARNUNG: Fass enthält anderes Produkt","OK"))))</f>
        <v/>
      </c>
      <c r="G221" s="7" t="n"/>
    </row>
    <row r="222">
      <c r="A222" s="7" t="n"/>
      <c r="B222" s="12">
        <f>IFERROR(INDEX(Produkte!$B$2:$B$301,MATCH(A222,Produkte!$A$2:$A$301,0)),"")</f>
        <v/>
      </c>
      <c r="C222" s="7" t="n"/>
      <c r="D222" s="18" t="n"/>
      <c r="E222" s="7" t="n"/>
      <c r="F222" s="12">
        <f>IF(A222="","",IF(COUNTIF($A$2:$A$301,A222)&gt;1,"FEHLER: Produkt mehrfach aktiv",IF(COUNTIF(Faesser!$A$2:$A$301,C222)=0,"FEHLER: Fassnummer unbekannt",IF(IFERROR(INDEX(Faesser!$B$2:$B$301,MATCH(C222,Faesser!$A$2:$A$301,0)),"")&lt;&gt;A222,"WARNUNG: Fass enthält anderes Produkt","OK"))))</f>
        <v/>
      </c>
      <c r="G222" s="7" t="n"/>
    </row>
    <row r="223">
      <c r="A223" s="7" t="n"/>
      <c r="B223" s="12">
        <f>IFERROR(INDEX(Produkte!$B$2:$B$301,MATCH(A223,Produkte!$A$2:$A$301,0)),"")</f>
        <v/>
      </c>
      <c r="C223" s="7" t="n"/>
      <c r="D223" s="18" t="n"/>
      <c r="E223" s="7" t="n"/>
      <c r="F223" s="12">
        <f>IF(A223="","",IF(COUNTIF($A$2:$A$301,A223)&gt;1,"FEHLER: Produkt mehrfach aktiv",IF(COUNTIF(Faesser!$A$2:$A$301,C223)=0,"FEHLER: Fassnummer unbekannt",IF(IFERROR(INDEX(Faesser!$B$2:$B$301,MATCH(C223,Faesser!$A$2:$A$301,0)),"")&lt;&gt;A223,"WARNUNG: Fass enthält anderes Produkt","OK"))))</f>
        <v/>
      </c>
      <c r="G223" s="7" t="n"/>
    </row>
    <row r="224">
      <c r="A224" s="7" t="n"/>
      <c r="B224" s="12">
        <f>IFERROR(INDEX(Produkte!$B$2:$B$301,MATCH(A224,Produkte!$A$2:$A$301,0)),"")</f>
        <v/>
      </c>
      <c r="C224" s="7" t="n"/>
      <c r="D224" s="18" t="n"/>
      <c r="E224" s="7" t="n"/>
      <c r="F224" s="12">
        <f>IF(A224="","",IF(COUNTIF($A$2:$A$301,A224)&gt;1,"FEHLER: Produkt mehrfach aktiv",IF(COUNTIF(Faesser!$A$2:$A$301,C224)=0,"FEHLER: Fassnummer unbekannt",IF(IFERROR(INDEX(Faesser!$B$2:$B$301,MATCH(C224,Faesser!$A$2:$A$301,0)),"")&lt;&gt;A224,"WARNUNG: Fass enthält anderes Produkt","OK"))))</f>
        <v/>
      </c>
      <c r="G224" s="7" t="n"/>
    </row>
    <row r="225">
      <c r="A225" s="7" t="n"/>
      <c r="B225" s="12">
        <f>IFERROR(INDEX(Produkte!$B$2:$B$301,MATCH(A225,Produkte!$A$2:$A$301,0)),"")</f>
        <v/>
      </c>
      <c r="C225" s="7" t="n"/>
      <c r="D225" s="18" t="n"/>
      <c r="E225" s="7" t="n"/>
      <c r="F225" s="12">
        <f>IF(A225="","",IF(COUNTIF($A$2:$A$301,A225)&gt;1,"FEHLER: Produkt mehrfach aktiv",IF(COUNTIF(Faesser!$A$2:$A$301,C225)=0,"FEHLER: Fassnummer unbekannt",IF(IFERROR(INDEX(Faesser!$B$2:$B$301,MATCH(C225,Faesser!$A$2:$A$301,0)),"")&lt;&gt;A225,"WARNUNG: Fass enthält anderes Produkt","OK"))))</f>
        <v/>
      </c>
      <c r="G225" s="7" t="n"/>
    </row>
    <row r="226">
      <c r="A226" s="7" t="n"/>
      <c r="B226" s="12">
        <f>IFERROR(INDEX(Produkte!$B$2:$B$301,MATCH(A226,Produkte!$A$2:$A$301,0)),"")</f>
        <v/>
      </c>
      <c r="C226" s="7" t="n"/>
      <c r="D226" s="18" t="n"/>
      <c r="E226" s="7" t="n"/>
      <c r="F226" s="12">
        <f>IF(A226="","",IF(COUNTIF($A$2:$A$301,A226)&gt;1,"FEHLER: Produkt mehrfach aktiv",IF(COUNTIF(Faesser!$A$2:$A$301,C226)=0,"FEHLER: Fassnummer unbekannt",IF(IFERROR(INDEX(Faesser!$B$2:$B$301,MATCH(C226,Faesser!$A$2:$A$301,0)),"")&lt;&gt;A226,"WARNUNG: Fass enthält anderes Produkt","OK"))))</f>
        <v/>
      </c>
      <c r="G226" s="7" t="n"/>
    </row>
    <row r="227">
      <c r="A227" s="7" t="n"/>
      <c r="B227" s="12">
        <f>IFERROR(INDEX(Produkte!$B$2:$B$301,MATCH(A227,Produkte!$A$2:$A$301,0)),"")</f>
        <v/>
      </c>
      <c r="C227" s="7" t="n"/>
      <c r="D227" s="18" t="n"/>
      <c r="E227" s="7" t="n"/>
      <c r="F227" s="12">
        <f>IF(A227="","",IF(COUNTIF($A$2:$A$301,A227)&gt;1,"FEHLER: Produkt mehrfach aktiv",IF(COUNTIF(Faesser!$A$2:$A$301,C227)=0,"FEHLER: Fassnummer unbekannt",IF(IFERROR(INDEX(Faesser!$B$2:$B$301,MATCH(C227,Faesser!$A$2:$A$301,0)),"")&lt;&gt;A227,"WARNUNG: Fass enthält anderes Produkt","OK"))))</f>
        <v/>
      </c>
      <c r="G227" s="7" t="n"/>
    </row>
    <row r="228">
      <c r="A228" s="7" t="n"/>
      <c r="B228" s="12">
        <f>IFERROR(INDEX(Produkte!$B$2:$B$301,MATCH(A228,Produkte!$A$2:$A$301,0)),"")</f>
        <v/>
      </c>
      <c r="C228" s="7" t="n"/>
      <c r="D228" s="18" t="n"/>
      <c r="E228" s="7" t="n"/>
      <c r="F228" s="12">
        <f>IF(A228="","",IF(COUNTIF($A$2:$A$301,A228)&gt;1,"FEHLER: Produkt mehrfach aktiv",IF(COUNTIF(Faesser!$A$2:$A$301,C228)=0,"FEHLER: Fassnummer unbekannt",IF(IFERROR(INDEX(Faesser!$B$2:$B$301,MATCH(C228,Faesser!$A$2:$A$301,0)),"")&lt;&gt;A228,"WARNUNG: Fass enthält anderes Produkt","OK"))))</f>
        <v/>
      </c>
      <c r="G228" s="7" t="n"/>
    </row>
    <row r="229">
      <c r="A229" s="7" t="n"/>
      <c r="B229" s="12">
        <f>IFERROR(INDEX(Produkte!$B$2:$B$301,MATCH(A229,Produkte!$A$2:$A$301,0)),"")</f>
        <v/>
      </c>
      <c r="C229" s="7" t="n"/>
      <c r="D229" s="18" t="n"/>
      <c r="E229" s="7" t="n"/>
      <c r="F229" s="12">
        <f>IF(A229="","",IF(COUNTIF($A$2:$A$301,A229)&gt;1,"FEHLER: Produkt mehrfach aktiv",IF(COUNTIF(Faesser!$A$2:$A$301,C229)=0,"FEHLER: Fassnummer unbekannt",IF(IFERROR(INDEX(Faesser!$B$2:$B$301,MATCH(C229,Faesser!$A$2:$A$301,0)),"")&lt;&gt;A229,"WARNUNG: Fass enthält anderes Produkt","OK"))))</f>
        <v/>
      </c>
      <c r="G229" s="7" t="n"/>
    </row>
    <row r="230">
      <c r="A230" s="7" t="n"/>
      <c r="B230" s="12">
        <f>IFERROR(INDEX(Produkte!$B$2:$B$301,MATCH(A230,Produkte!$A$2:$A$301,0)),"")</f>
        <v/>
      </c>
      <c r="C230" s="7" t="n"/>
      <c r="D230" s="18" t="n"/>
      <c r="E230" s="7" t="n"/>
      <c r="F230" s="12">
        <f>IF(A230="","",IF(COUNTIF($A$2:$A$301,A230)&gt;1,"FEHLER: Produkt mehrfach aktiv",IF(COUNTIF(Faesser!$A$2:$A$301,C230)=0,"FEHLER: Fassnummer unbekannt",IF(IFERROR(INDEX(Faesser!$B$2:$B$301,MATCH(C230,Faesser!$A$2:$A$301,0)),"")&lt;&gt;A230,"WARNUNG: Fass enthält anderes Produkt","OK"))))</f>
        <v/>
      </c>
      <c r="G230" s="7" t="n"/>
    </row>
    <row r="231">
      <c r="A231" s="7" t="n"/>
      <c r="B231" s="12">
        <f>IFERROR(INDEX(Produkte!$B$2:$B$301,MATCH(A231,Produkte!$A$2:$A$301,0)),"")</f>
        <v/>
      </c>
      <c r="C231" s="7" t="n"/>
      <c r="D231" s="18" t="n"/>
      <c r="E231" s="7" t="n"/>
      <c r="F231" s="12">
        <f>IF(A231="","",IF(COUNTIF($A$2:$A$301,A231)&gt;1,"FEHLER: Produkt mehrfach aktiv",IF(COUNTIF(Faesser!$A$2:$A$301,C231)=0,"FEHLER: Fassnummer unbekannt",IF(IFERROR(INDEX(Faesser!$B$2:$B$301,MATCH(C231,Faesser!$A$2:$A$301,0)),"")&lt;&gt;A231,"WARNUNG: Fass enthält anderes Produkt","OK"))))</f>
        <v/>
      </c>
      <c r="G231" s="7" t="n"/>
    </row>
    <row r="232">
      <c r="A232" s="7" t="n"/>
      <c r="B232" s="12">
        <f>IFERROR(INDEX(Produkte!$B$2:$B$301,MATCH(A232,Produkte!$A$2:$A$301,0)),"")</f>
        <v/>
      </c>
      <c r="C232" s="7" t="n"/>
      <c r="D232" s="18" t="n"/>
      <c r="E232" s="7" t="n"/>
      <c r="F232" s="12">
        <f>IF(A232="","",IF(COUNTIF($A$2:$A$301,A232)&gt;1,"FEHLER: Produkt mehrfach aktiv",IF(COUNTIF(Faesser!$A$2:$A$301,C232)=0,"FEHLER: Fassnummer unbekannt",IF(IFERROR(INDEX(Faesser!$B$2:$B$301,MATCH(C232,Faesser!$A$2:$A$301,0)),"")&lt;&gt;A232,"WARNUNG: Fass enthält anderes Produkt","OK"))))</f>
        <v/>
      </c>
      <c r="G232" s="7" t="n"/>
    </row>
    <row r="233">
      <c r="A233" s="7" t="n"/>
      <c r="B233" s="12">
        <f>IFERROR(INDEX(Produkte!$B$2:$B$301,MATCH(A233,Produkte!$A$2:$A$301,0)),"")</f>
        <v/>
      </c>
      <c r="C233" s="7" t="n"/>
      <c r="D233" s="18" t="n"/>
      <c r="E233" s="7" t="n"/>
      <c r="F233" s="12">
        <f>IF(A233="","",IF(COUNTIF($A$2:$A$301,A233)&gt;1,"FEHLER: Produkt mehrfach aktiv",IF(COUNTIF(Faesser!$A$2:$A$301,C233)=0,"FEHLER: Fassnummer unbekannt",IF(IFERROR(INDEX(Faesser!$B$2:$B$301,MATCH(C233,Faesser!$A$2:$A$301,0)),"")&lt;&gt;A233,"WARNUNG: Fass enthält anderes Produkt","OK"))))</f>
        <v/>
      </c>
      <c r="G233" s="7" t="n"/>
    </row>
    <row r="234">
      <c r="A234" s="7" t="n"/>
      <c r="B234" s="12">
        <f>IFERROR(INDEX(Produkte!$B$2:$B$301,MATCH(A234,Produkte!$A$2:$A$301,0)),"")</f>
        <v/>
      </c>
      <c r="C234" s="7" t="n"/>
      <c r="D234" s="18" t="n"/>
      <c r="E234" s="7" t="n"/>
      <c r="F234" s="12">
        <f>IF(A234="","",IF(COUNTIF($A$2:$A$301,A234)&gt;1,"FEHLER: Produkt mehrfach aktiv",IF(COUNTIF(Faesser!$A$2:$A$301,C234)=0,"FEHLER: Fassnummer unbekannt",IF(IFERROR(INDEX(Faesser!$B$2:$B$301,MATCH(C234,Faesser!$A$2:$A$301,0)),"")&lt;&gt;A234,"WARNUNG: Fass enthält anderes Produkt","OK"))))</f>
        <v/>
      </c>
      <c r="G234" s="7" t="n"/>
    </row>
    <row r="235">
      <c r="A235" s="7" t="n"/>
      <c r="B235" s="12">
        <f>IFERROR(INDEX(Produkte!$B$2:$B$301,MATCH(A235,Produkte!$A$2:$A$301,0)),"")</f>
        <v/>
      </c>
      <c r="C235" s="7" t="n"/>
      <c r="D235" s="18" t="n"/>
      <c r="E235" s="7" t="n"/>
      <c r="F235" s="12">
        <f>IF(A235="","",IF(COUNTIF($A$2:$A$301,A235)&gt;1,"FEHLER: Produkt mehrfach aktiv",IF(COUNTIF(Faesser!$A$2:$A$301,C235)=0,"FEHLER: Fassnummer unbekannt",IF(IFERROR(INDEX(Faesser!$B$2:$B$301,MATCH(C235,Faesser!$A$2:$A$301,0)),"")&lt;&gt;A235,"WARNUNG: Fass enthält anderes Produkt","OK"))))</f>
        <v/>
      </c>
      <c r="G235" s="7" t="n"/>
    </row>
    <row r="236">
      <c r="A236" s="7" t="n"/>
      <c r="B236" s="12">
        <f>IFERROR(INDEX(Produkte!$B$2:$B$301,MATCH(A236,Produkte!$A$2:$A$301,0)),"")</f>
        <v/>
      </c>
      <c r="C236" s="7" t="n"/>
      <c r="D236" s="18" t="n"/>
      <c r="E236" s="7" t="n"/>
      <c r="F236" s="12">
        <f>IF(A236="","",IF(COUNTIF($A$2:$A$301,A236)&gt;1,"FEHLER: Produkt mehrfach aktiv",IF(COUNTIF(Faesser!$A$2:$A$301,C236)=0,"FEHLER: Fassnummer unbekannt",IF(IFERROR(INDEX(Faesser!$B$2:$B$301,MATCH(C236,Faesser!$A$2:$A$301,0)),"")&lt;&gt;A236,"WARNUNG: Fass enthält anderes Produkt","OK"))))</f>
        <v/>
      </c>
      <c r="G236" s="7" t="n"/>
    </row>
    <row r="237">
      <c r="A237" s="7" t="n"/>
      <c r="B237" s="12">
        <f>IFERROR(INDEX(Produkte!$B$2:$B$301,MATCH(A237,Produkte!$A$2:$A$301,0)),"")</f>
        <v/>
      </c>
      <c r="C237" s="7" t="n"/>
      <c r="D237" s="18" t="n"/>
      <c r="E237" s="7" t="n"/>
      <c r="F237" s="12">
        <f>IF(A237="","",IF(COUNTIF($A$2:$A$301,A237)&gt;1,"FEHLER: Produkt mehrfach aktiv",IF(COUNTIF(Faesser!$A$2:$A$301,C237)=0,"FEHLER: Fassnummer unbekannt",IF(IFERROR(INDEX(Faesser!$B$2:$B$301,MATCH(C237,Faesser!$A$2:$A$301,0)),"")&lt;&gt;A237,"WARNUNG: Fass enthält anderes Produkt","OK"))))</f>
        <v/>
      </c>
      <c r="G237" s="7" t="n"/>
    </row>
    <row r="238">
      <c r="A238" s="7" t="n"/>
      <c r="B238" s="12">
        <f>IFERROR(INDEX(Produkte!$B$2:$B$301,MATCH(A238,Produkte!$A$2:$A$301,0)),"")</f>
        <v/>
      </c>
      <c r="C238" s="7" t="n"/>
      <c r="D238" s="18" t="n"/>
      <c r="E238" s="7" t="n"/>
      <c r="F238" s="12">
        <f>IF(A238="","",IF(COUNTIF($A$2:$A$301,A238)&gt;1,"FEHLER: Produkt mehrfach aktiv",IF(COUNTIF(Faesser!$A$2:$A$301,C238)=0,"FEHLER: Fassnummer unbekannt",IF(IFERROR(INDEX(Faesser!$B$2:$B$301,MATCH(C238,Faesser!$A$2:$A$301,0)),"")&lt;&gt;A238,"WARNUNG: Fass enthält anderes Produkt","OK"))))</f>
        <v/>
      </c>
      <c r="G238" s="7" t="n"/>
    </row>
    <row r="239">
      <c r="A239" s="7" t="n"/>
      <c r="B239" s="12">
        <f>IFERROR(INDEX(Produkte!$B$2:$B$301,MATCH(A239,Produkte!$A$2:$A$301,0)),"")</f>
        <v/>
      </c>
      <c r="C239" s="7" t="n"/>
      <c r="D239" s="18" t="n"/>
      <c r="E239" s="7" t="n"/>
      <c r="F239" s="12">
        <f>IF(A239="","",IF(COUNTIF($A$2:$A$301,A239)&gt;1,"FEHLER: Produkt mehrfach aktiv",IF(COUNTIF(Faesser!$A$2:$A$301,C239)=0,"FEHLER: Fassnummer unbekannt",IF(IFERROR(INDEX(Faesser!$B$2:$B$301,MATCH(C239,Faesser!$A$2:$A$301,0)),"")&lt;&gt;A239,"WARNUNG: Fass enthält anderes Produkt","OK"))))</f>
        <v/>
      </c>
      <c r="G239" s="7" t="n"/>
    </row>
    <row r="240">
      <c r="A240" s="7" t="n"/>
      <c r="B240" s="12">
        <f>IFERROR(INDEX(Produkte!$B$2:$B$301,MATCH(A240,Produkte!$A$2:$A$301,0)),"")</f>
        <v/>
      </c>
      <c r="C240" s="7" t="n"/>
      <c r="D240" s="18" t="n"/>
      <c r="E240" s="7" t="n"/>
      <c r="F240" s="12">
        <f>IF(A240="","",IF(COUNTIF($A$2:$A$301,A240)&gt;1,"FEHLER: Produkt mehrfach aktiv",IF(COUNTIF(Faesser!$A$2:$A$301,C240)=0,"FEHLER: Fassnummer unbekannt",IF(IFERROR(INDEX(Faesser!$B$2:$B$301,MATCH(C240,Faesser!$A$2:$A$301,0)),"")&lt;&gt;A240,"WARNUNG: Fass enthält anderes Produkt","OK"))))</f>
        <v/>
      </c>
      <c r="G240" s="7" t="n"/>
    </row>
    <row r="241">
      <c r="A241" s="7" t="n"/>
      <c r="B241" s="12">
        <f>IFERROR(INDEX(Produkte!$B$2:$B$301,MATCH(A241,Produkte!$A$2:$A$301,0)),"")</f>
        <v/>
      </c>
      <c r="C241" s="7" t="n"/>
      <c r="D241" s="18" t="n"/>
      <c r="E241" s="7" t="n"/>
      <c r="F241" s="12">
        <f>IF(A241="","",IF(COUNTIF($A$2:$A$301,A241)&gt;1,"FEHLER: Produkt mehrfach aktiv",IF(COUNTIF(Faesser!$A$2:$A$301,C241)=0,"FEHLER: Fassnummer unbekannt",IF(IFERROR(INDEX(Faesser!$B$2:$B$301,MATCH(C241,Faesser!$A$2:$A$301,0)),"")&lt;&gt;A241,"WARNUNG: Fass enthält anderes Produkt","OK"))))</f>
        <v/>
      </c>
      <c r="G241" s="7" t="n"/>
    </row>
    <row r="242">
      <c r="A242" s="7" t="n"/>
      <c r="B242" s="12">
        <f>IFERROR(INDEX(Produkte!$B$2:$B$301,MATCH(A242,Produkte!$A$2:$A$301,0)),"")</f>
        <v/>
      </c>
      <c r="C242" s="7" t="n"/>
      <c r="D242" s="18" t="n"/>
      <c r="E242" s="7" t="n"/>
      <c r="F242" s="12">
        <f>IF(A242="","",IF(COUNTIF($A$2:$A$301,A242)&gt;1,"FEHLER: Produkt mehrfach aktiv",IF(COUNTIF(Faesser!$A$2:$A$301,C242)=0,"FEHLER: Fassnummer unbekannt",IF(IFERROR(INDEX(Faesser!$B$2:$B$301,MATCH(C242,Faesser!$A$2:$A$301,0)),"")&lt;&gt;A242,"WARNUNG: Fass enthält anderes Produkt","OK"))))</f>
        <v/>
      </c>
      <c r="G242" s="7" t="n"/>
    </row>
    <row r="243">
      <c r="A243" s="7" t="n"/>
      <c r="B243" s="12">
        <f>IFERROR(INDEX(Produkte!$B$2:$B$301,MATCH(A243,Produkte!$A$2:$A$301,0)),"")</f>
        <v/>
      </c>
      <c r="C243" s="7" t="n"/>
      <c r="D243" s="18" t="n"/>
      <c r="E243" s="7" t="n"/>
      <c r="F243" s="12">
        <f>IF(A243="","",IF(COUNTIF($A$2:$A$301,A243)&gt;1,"FEHLER: Produkt mehrfach aktiv",IF(COUNTIF(Faesser!$A$2:$A$301,C243)=0,"FEHLER: Fassnummer unbekannt",IF(IFERROR(INDEX(Faesser!$B$2:$B$301,MATCH(C243,Faesser!$A$2:$A$301,0)),"")&lt;&gt;A243,"WARNUNG: Fass enthält anderes Produkt","OK"))))</f>
        <v/>
      </c>
      <c r="G243" s="7" t="n"/>
    </row>
    <row r="244">
      <c r="A244" s="7" t="n"/>
      <c r="B244" s="12">
        <f>IFERROR(INDEX(Produkte!$B$2:$B$301,MATCH(A244,Produkte!$A$2:$A$301,0)),"")</f>
        <v/>
      </c>
      <c r="C244" s="7" t="n"/>
      <c r="D244" s="18" t="n"/>
      <c r="E244" s="7" t="n"/>
      <c r="F244" s="12">
        <f>IF(A244="","",IF(COUNTIF($A$2:$A$301,A244)&gt;1,"FEHLER: Produkt mehrfach aktiv",IF(COUNTIF(Faesser!$A$2:$A$301,C244)=0,"FEHLER: Fassnummer unbekannt",IF(IFERROR(INDEX(Faesser!$B$2:$B$301,MATCH(C244,Faesser!$A$2:$A$301,0)),"")&lt;&gt;A244,"WARNUNG: Fass enthält anderes Produkt","OK"))))</f>
        <v/>
      </c>
      <c r="G244" s="7" t="n"/>
    </row>
    <row r="245">
      <c r="A245" s="7" t="n"/>
      <c r="B245" s="12">
        <f>IFERROR(INDEX(Produkte!$B$2:$B$301,MATCH(A245,Produkte!$A$2:$A$301,0)),"")</f>
        <v/>
      </c>
      <c r="C245" s="7" t="n"/>
      <c r="D245" s="18" t="n"/>
      <c r="E245" s="7" t="n"/>
      <c r="F245" s="12">
        <f>IF(A245="","",IF(COUNTIF($A$2:$A$301,A245)&gt;1,"FEHLER: Produkt mehrfach aktiv",IF(COUNTIF(Faesser!$A$2:$A$301,C245)=0,"FEHLER: Fassnummer unbekannt",IF(IFERROR(INDEX(Faesser!$B$2:$B$301,MATCH(C245,Faesser!$A$2:$A$301,0)),"")&lt;&gt;A245,"WARNUNG: Fass enthält anderes Produkt","OK"))))</f>
        <v/>
      </c>
      <c r="G245" s="7" t="n"/>
    </row>
    <row r="246">
      <c r="A246" s="7" t="n"/>
      <c r="B246" s="12">
        <f>IFERROR(INDEX(Produkte!$B$2:$B$301,MATCH(A246,Produkte!$A$2:$A$301,0)),"")</f>
        <v/>
      </c>
      <c r="C246" s="7" t="n"/>
      <c r="D246" s="18" t="n"/>
      <c r="E246" s="7" t="n"/>
      <c r="F246" s="12">
        <f>IF(A246="","",IF(COUNTIF($A$2:$A$301,A246)&gt;1,"FEHLER: Produkt mehrfach aktiv",IF(COUNTIF(Faesser!$A$2:$A$301,C246)=0,"FEHLER: Fassnummer unbekannt",IF(IFERROR(INDEX(Faesser!$B$2:$B$301,MATCH(C246,Faesser!$A$2:$A$301,0)),"")&lt;&gt;A246,"WARNUNG: Fass enthält anderes Produkt","OK"))))</f>
        <v/>
      </c>
      <c r="G246" s="7" t="n"/>
    </row>
    <row r="247">
      <c r="A247" s="7" t="n"/>
      <c r="B247" s="12">
        <f>IFERROR(INDEX(Produkte!$B$2:$B$301,MATCH(A247,Produkte!$A$2:$A$301,0)),"")</f>
        <v/>
      </c>
      <c r="C247" s="7" t="n"/>
      <c r="D247" s="18" t="n"/>
      <c r="E247" s="7" t="n"/>
      <c r="F247" s="12">
        <f>IF(A247="","",IF(COUNTIF($A$2:$A$301,A247)&gt;1,"FEHLER: Produkt mehrfach aktiv",IF(COUNTIF(Faesser!$A$2:$A$301,C247)=0,"FEHLER: Fassnummer unbekannt",IF(IFERROR(INDEX(Faesser!$B$2:$B$301,MATCH(C247,Faesser!$A$2:$A$301,0)),"")&lt;&gt;A247,"WARNUNG: Fass enthält anderes Produkt","OK"))))</f>
        <v/>
      </c>
      <c r="G247" s="7" t="n"/>
    </row>
    <row r="248">
      <c r="A248" s="7" t="n"/>
      <c r="B248" s="12">
        <f>IFERROR(INDEX(Produkte!$B$2:$B$301,MATCH(A248,Produkte!$A$2:$A$301,0)),"")</f>
        <v/>
      </c>
      <c r="C248" s="7" t="n"/>
      <c r="D248" s="18" t="n"/>
      <c r="E248" s="7" t="n"/>
      <c r="F248" s="12">
        <f>IF(A248="","",IF(COUNTIF($A$2:$A$301,A248)&gt;1,"FEHLER: Produkt mehrfach aktiv",IF(COUNTIF(Faesser!$A$2:$A$301,C248)=0,"FEHLER: Fassnummer unbekannt",IF(IFERROR(INDEX(Faesser!$B$2:$B$301,MATCH(C248,Faesser!$A$2:$A$301,0)),"")&lt;&gt;A248,"WARNUNG: Fass enthält anderes Produkt","OK"))))</f>
        <v/>
      </c>
      <c r="G248" s="7" t="n"/>
    </row>
    <row r="249">
      <c r="A249" s="7" t="n"/>
      <c r="B249" s="12">
        <f>IFERROR(INDEX(Produkte!$B$2:$B$301,MATCH(A249,Produkte!$A$2:$A$301,0)),"")</f>
        <v/>
      </c>
      <c r="C249" s="7" t="n"/>
      <c r="D249" s="18" t="n"/>
      <c r="E249" s="7" t="n"/>
      <c r="F249" s="12">
        <f>IF(A249="","",IF(COUNTIF($A$2:$A$301,A249)&gt;1,"FEHLER: Produkt mehrfach aktiv",IF(COUNTIF(Faesser!$A$2:$A$301,C249)=0,"FEHLER: Fassnummer unbekannt",IF(IFERROR(INDEX(Faesser!$B$2:$B$301,MATCH(C249,Faesser!$A$2:$A$301,0)),"")&lt;&gt;A249,"WARNUNG: Fass enthält anderes Produkt","OK"))))</f>
        <v/>
      </c>
      <c r="G249" s="7" t="n"/>
    </row>
    <row r="250">
      <c r="A250" s="7" t="n"/>
      <c r="B250" s="12">
        <f>IFERROR(INDEX(Produkte!$B$2:$B$301,MATCH(A250,Produkte!$A$2:$A$301,0)),"")</f>
        <v/>
      </c>
      <c r="C250" s="7" t="n"/>
      <c r="D250" s="18" t="n"/>
      <c r="E250" s="7" t="n"/>
      <c r="F250" s="12">
        <f>IF(A250="","",IF(COUNTIF($A$2:$A$301,A250)&gt;1,"FEHLER: Produkt mehrfach aktiv",IF(COUNTIF(Faesser!$A$2:$A$301,C250)=0,"FEHLER: Fassnummer unbekannt",IF(IFERROR(INDEX(Faesser!$B$2:$B$301,MATCH(C250,Faesser!$A$2:$A$301,0)),"")&lt;&gt;A250,"WARNUNG: Fass enthält anderes Produkt","OK"))))</f>
        <v/>
      </c>
      <c r="G250" s="7" t="n"/>
    </row>
    <row r="251">
      <c r="A251" s="7" t="n"/>
      <c r="B251" s="12">
        <f>IFERROR(INDEX(Produkte!$B$2:$B$301,MATCH(A251,Produkte!$A$2:$A$301,0)),"")</f>
        <v/>
      </c>
      <c r="C251" s="7" t="n"/>
      <c r="D251" s="18" t="n"/>
      <c r="E251" s="7" t="n"/>
      <c r="F251" s="12">
        <f>IF(A251="","",IF(COUNTIF($A$2:$A$301,A251)&gt;1,"FEHLER: Produkt mehrfach aktiv",IF(COUNTIF(Faesser!$A$2:$A$301,C251)=0,"FEHLER: Fassnummer unbekannt",IF(IFERROR(INDEX(Faesser!$B$2:$B$301,MATCH(C251,Faesser!$A$2:$A$301,0)),"")&lt;&gt;A251,"WARNUNG: Fass enthält anderes Produkt","OK"))))</f>
        <v/>
      </c>
      <c r="G251" s="7" t="n"/>
    </row>
    <row r="252">
      <c r="A252" s="7" t="n"/>
      <c r="B252" s="12">
        <f>IFERROR(INDEX(Produkte!$B$2:$B$301,MATCH(A252,Produkte!$A$2:$A$301,0)),"")</f>
        <v/>
      </c>
      <c r="C252" s="7" t="n"/>
      <c r="D252" s="18" t="n"/>
      <c r="E252" s="7" t="n"/>
      <c r="F252" s="12">
        <f>IF(A252="","",IF(COUNTIF($A$2:$A$301,A252)&gt;1,"FEHLER: Produkt mehrfach aktiv",IF(COUNTIF(Faesser!$A$2:$A$301,C252)=0,"FEHLER: Fassnummer unbekannt",IF(IFERROR(INDEX(Faesser!$B$2:$B$301,MATCH(C252,Faesser!$A$2:$A$301,0)),"")&lt;&gt;A252,"WARNUNG: Fass enthält anderes Produkt","OK"))))</f>
        <v/>
      </c>
      <c r="G252" s="7" t="n"/>
    </row>
    <row r="253">
      <c r="A253" s="7" t="n"/>
      <c r="B253" s="12">
        <f>IFERROR(INDEX(Produkte!$B$2:$B$301,MATCH(A253,Produkte!$A$2:$A$301,0)),"")</f>
        <v/>
      </c>
      <c r="C253" s="7" t="n"/>
      <c r="D253" s="18" t="n"/>
      <c r="E253" s="7" t="n"/>
      <c r="F253" s="12">
        <f>IF(A253="","",IF(COUNTIF($A$2:$A$301,A253)&gt;1,"FEHLER: Produkt mehrfach aktiv",IF(COUNTIF(Faesser!$A$2:$A$301,C253)=0,"FEHLER: Fassnummer unbekannt",IF(IFERROR(INDEX(Faesser!$B$2:$B$301,MATCH(C253,Faesser!$A$2:$A$301,0)),"")&lt;&gt;A253,"WARNUNG: Fass enthält anderes Produkt","OK"))))</f>
        <v/>
      </c>
      <c r="G253" s="7" t="n"/>
    </row>
    <row r="254">
      <c r="A254" s="7" t="n"/>
      <c r="B254" s="12">
        <f>IFERROR(INDEX(Produkte!$B$2:$B$301,MATCH(A254,Produkte!$A$2:$A$301,0)),"")</f>
        <v/>
      </c>
      <c r="C254" s="7" t="n"/>
      <c r="D254" s="18" t="n"/>
      <c r="E254" s="7" t="n"/>
      <c r="F254" s="12">
        <f>IF(A254="","",IF(COUNTIF($A$2:$A$301,A254)&gt;1,"FEHLER: Produkt mehrfach aktiv",IF(COUNTIF(Faesser!$A$2:$A$301,C254)=0,"FEHLER: Fassnummer unbekannt",IF(IFERROR(INDEX(Faesser!$B$2:$B$301,MATCH(C254,Faesser!$A$2:$A$301,0)),"")&lt;&gt;A254,"WARNUNG: Fass enthält anderes Produkt","OK"))))</f>
        <v/>
      </c>
      <c r="G254" s="7" t="n"/>
    </row>
    <row r="255">
      <c r="A255" s="7" t="n"/>
      <c r="B255" s="12">
        <f>IFERROR(INDEX(Produkte!$B$2:$B$301,MATCH(A255,Produkte!$A$2:$A$301,0)),"")</f>
        <v/>
      </c>
      <c r="C255" s="7" t="n"/>
      <c r="D255" s="18" t="n"/>
      <c r="E255" s="7" t="n"/>
      <c r="F255" s="12">
        <f>IF(A255="","",IF(COUNTIF($A$2:$A$301,A255)&gt;1,"FEHLER: Produkt mehrfach aktiv",IF(COUNTIF(Faesser!$A$2:$A$301,C255)=0,"FEHLER: Fassnummer unbekannt",IF(IFERROR(INDEX(Faesser!$B$2:$B$301,MATCH(C255,Faesser!$A$2:$A$301,0)),"")&lt;&gt;A255,"WARNUNG: Fass enthält anderes Produkt","OK"))))</f>
        <v/>
      </c>
      <c r="G255" s="7" t="n"/>
    </row>
    <row r="256">
      <c r="A256" s="7" t="n"/>
      <c r="B256" s="12">
        <f>IFERROR(INDEX(Produkte!$B$2:$B$301,MATCH(A256,Produkte!$A$2:$A$301,0)),"")</f>
        <v/>
      </c>
      <c r="C256" s="7" t="n"/>
      <c r="D256" s="18" t="n"/>
      <c r="E256" s="7" t="n"/>
      <c r="F256" s="12">
        <f>IF(A256="","",IF(COUNTIF($A$2:$A$301,A256)&gt;1,"FEHLER: Produkt mehrfach aktiv",IF(COUNTIF(Faesser!$A$2:$A$301,C256)=0,"FEHLER: Fassnummer unbekannt",IF(IFERROR(INDEX(Faesser!$B$2:$B$301,MATCH(C256,Faesser!$A$2:$A$301,0)),"")&lt;&gt;A256,"WARNUNG: Fass enthält anderes Produkt","OK"))))</f>
        <v/>
      </c>
      <c r="G256" s="7" t="n"/>
    </row>
    <row r="257">
      <c r="A257" s="7" t="n"/>
      <c r="B257" s="12">
        <f>IFERROR(INDEX(Produkte!$B$2:$B$301,MATCH(A257,Produkte!$A$2:$A$301,0)),"")</f>
        <v/>
      </c>
      <c r="C257" s="7" t="n"/>
      <c r="D257" s="18" t="n"/>
      <c r="E257" s="7" t="n"/>
      <c r="F257" s="12">
        <f>IF(A257="","",IF(COUNTIF($A$2:$A$301,A257)&gt;1,"FEHLER: Produkt mehrfach aktiv",IF(COUNTIF(Faesser!$A$2:$A$301,C257)=0,"FEHLER: Fassnummer unbekannt",IF(IFERROR(INDEX(Faesser!$B$2:$B$301,MATCH(C257,Faesser!$A$2:$A$301,0)),"")&lt;&gt;A257,"WARNUNG: Fass enthält anderes Produkt","OK"))))</f>
        <v/>
      </c>
      <c r="G257" s="7" t="n"/>
    </row>
    <row r="258">
      <c r="A258" s="7" t="n"/>
      <c r="B258" s="12">
        <f>IFERROR(INDEX(Produkte!$B$2:$B$301,MATCH(A258,Produkte!$A$2:$A$301,0)),"")</f>
        <v/>
      </c>
      <c r="C258" s="7" t="n"/>
      <c r="D258" s="18" t="n"/>
      <c r="E258" s="7" t="n"/>
      <c r="F258" s="12">
        <f>IF(A258="","",IF(COUNTIF($A$2:$A$301,A258)&gt;1,"FEHLER: Produkt mehrfach aktiv",IF(COUNTIF(Faesser!$A$2:$A$301,C258)=0,"FEHLER: Fassnummer unbekannt",IF(IFERROR(INDEX(Faesser!$B$2:$B$301,MATCH(C258,Faesser!$A$2:$A$301,0)),"")&lt;&gt;A258,"WARNUNG: Fass enthält anderes Produkt","OK"))))</f>
        <v/>
      </c>
      <c r="G258" s="7" t="n"/>
    </row>
    <row r="259">
      <c r="A259" s="7" t="n"/>
      <c r="B259" s="12">
        <f>IFERROR(INDEX(Produkte!$B$2:$B$301,MATCH(A259,Produkte!$A$2:$A$301,0)),"")</f>
        <v/>
      </c>
      <c r="C259" s="7" t="n"/>
      <c r="D259" s="18" t="n"/>
      <c r="E259" s="7" t="n"/>
      <c r="F259" s="12">
        <f>IF(A259="","",IF(COUNTIF($A$2:$A$301,A259)&gt;1,"FEHLER: Produkt mehrfach aktiv",IF(COUNTIF(Faesser!$A$2:$A$301,C259)=0,"FEHLER: Fassnummer unbekannt",IF(IFERROR(INDEX(Faesser!$B$2:$B$301,MATCH(C259,Faesser!$A$2:$A$301,0)),"")&lt;&gt;A259,"WARNUNG: Fass enthält anderes Produkt","OK"))))</f>
        <v/>
      </c>
      <c r="G259" s="7" t="n"/>
    </row>
    <row r="260">
      <c r="A260" s="7" t="n"/>
      <c r="B260" s="12">
        <f>IFERROR(INDEX(Produkte!$B$2:$B$301,MATCH(A260,Produkte!$A$2:$A$301,0)),"")</f>
        <v/>
      </c>
      <c r="C260" s="7" t="n"/>
      <c r="D260" s="18" t="n"/>
      <c r="E260" s="7" t="n"/>
      <c r="F260" s="12">
        <f>IF(A260="","",IF(COUNTIF($A$2:$A$301,A260)&gt;1,"FEHLER: Produkt mehrfach aktiv",IF(COUNTIF(Faesser!$A$2:$A$301,C260)=0,"FEHLER: Fassnummer unbekannt",IF(IFERROR(INDEX(Faesser!$B$2:$B$301,MATCH(C260,Faesser!$A$2:$A$301,0)),"")&lt;&gt;A260,"WARNUNG: Fass enthält anderes Produkt","OK"))))</f>
        <v/>
      </c>
      <c r="G260" s="7" t="n"/>
    </row>
    <row r="261">
      <c r="A261" s="7" t="n"/>
      <c r="B261" s="12">
        <f>IFERROR(INDEX(Produkte!$B$2:$B$301,MATCH(A261,Produkte!$A$2:$A$301,0)),"")</f>
        <v/>
      </c>
      <c r="C261" s="7" t="n"/>
      <c r="D261" s="18" t="n"/>
      <c r="E261" s="7" t="n"/>
      <c r="F261" s="12">
        <f>IF(A261="","",IF(COUNTIF($A$2:$A$301,A261)&gt;1,"FEHLER: Produkt mehrfach aktiv",IF(COUNTIF(Faesser!$A$2:$A$301,C261)=0,"FEHLER: Fassnummer unbekannt",IF(IFERROR(INDEX(Faesser!$B$2:$B$301,MATCH(C261,Faesser!$A$2:$A$301,0)),"")&lt;&gt;A261,"WARNUNG: Fass enthält anderes Produkt","OK"))))</f>
        <v/>
      </c>
      <c r="G261" s="7" t="n"/>
    </row>
    <row r="262">
      <c r="A262" s="7" t="n"/>
      <c r="B262" s="12">
        <f>IFERROR(INDEX(Produkte!$B$2:$B$301,MATCH(A262,Produkte!$A$2:$A$301,0)),"")</f>
        <v/>
      </c>
      <c r="C262" s="7" t="n"/>
      <c r="D262" s="18" t="n"/>
      <c r="E262" s="7" t="n"/>
      <c r="F262" s="12">
        <f>IF(A262="","",IF(COUNTIF($A$2:$A$301,A262)&gt;1,"FEHLER: Produkt mehrfach aktiv",IF(COUNTIF(Faesser!$A$2:$A$301,C262)=0,"FEHLER: Fassnummer unbekannt",IF(IFERROR(INDEX(Faesser!$B$2:$B$301,MATCH(C262,Faesser!$A$2:$A$301,0)),"")&lt;&gt;A262,"WARNUNG: Fass enthält anderes Produkt","OK"))))</f>
        <v/>
      </c>
      <c r="G262" s="7" t="n"/>
    </row>
    <row r="263">
      <c r="A263" s="7" t="n"/>
      <c r="B263" s="12">
        <f>IFERROR(INDEX(Produkte!$B$2:$B$301,MATCH(A263,Produkte!$A$2:$A$301,0)),"")</f>
        <v/>
      </c>
      <c r="C263" s="7" t="n"/>
      <c r="D263" s="18" t="n"/>
      <c r="E263" s="7" t="n"/>
      <c r="F263" s="12">
        <f>IF(A263="","",IF(COUNTIF($A$2:$A$301,A263)&gt;1,"FEHLER: Produkt mehrfach aktiv",IF(COUNTIF(Faesser!$A$2:$A$301,C263)=0,"FEHLER: Fassnummer unbekannt",IF(IFERROR(INDEX(Faesser!$B$2:$B$301,MATCH(C263,Faesser!$A$2:$A$301,0)),"")&lt;&gt;A263,"WARNUNG: Fass enthält anderes Produkt","OK"))))</f>
        <v/>
      </c>
      <c r="G263" s="7" t="n"/>
    </row>
    <row r="264">
      <c r="A264" s="7" t="n"/>
      <c r="B264" s="12">
        <f>IFERROR(INDEX(Produkte!$B$2:$B$301,MATCH(A264,Produkte!$A$2:$A$301,0)),"")</f>
        <v/>
      </c>
      <c r="C264" s="7" t="n"/>
      <c r="D264" s="18" t="n"/>
      <c r="E264" s="7" t="n"/>
      <c r="F264" s="12">
        <f>IF(A264="","",IF(COUNTIF($A$2:$A$301,A264)&gt;1,"FEHLER: Produkt mehrfach aktiv",IF(COUNTIF(Faesser!$A$2:$A$301,C264)=0,"FEHLER: Fassnummer unbekannt",IF(IFERROR(INDEX(Faesser!$B$2:$B$301,MATCH(C264,Faesser!$A$2:$A$301,0)),"")&lt;&gt;A264,"WARNUNG: Fass enthält anderes Produkt","OK"))))</f>
        <v/>
      </c>
      <c r="G264" s="7" t="n"/>
    </row>
    <row r="265">
      <c r="A265" s="7" t="n"/>
      <c r="B265" s="12">
        <f>IFERROR(INDEX(Produkte!$B$2:$B$301,MATCH(A265,Produkte!$A$2:$A$301,0)),"")</f>
        <v/>
      </c>
      <c r="C265" s="7" t="n"/>
      <c r="D265" s="18" t="n"/>
      <c r="E265" s="7" t="n"/>
      <c r="F265" s="12">
        <f>IF(A265="","",IF(COUNTIF($A$2:$A$301,A265)&gt;1,"FEHLER: Produkt mehrfach aktiv",IF(COUNTIF(Faesser!$A$2:$A$301,C265)=0,"FEHLER: Fassnummer unbekannt",IF(IFERROR(INDEX(Faesser!$B$2:$B$301,MATCH(C265,Faesser!$A$2:$A$301,0)),"")&lt;&gt;A265,"WARNUNG: Fass enthält anderes Produkt","OK"))))</f>
        <v/>
      </c>
      <c r="G265" s="7" t="n"/>
    </row>
    <row r="266">
      <c r="A266" s="7" t="n"/>
      <c r="B266" s="12">
        <f>IFERROR(INDEX(Produkte!$B$2:$B$301,MATCH(A266,Produkte!$A$2:$A$301,0)),"")</f>
        <v/>
      </c>
      <c r="C266" s="7" t="n"/>
      <c r="D266" s="18" t="n"/>
      <c r="E266" s="7" t="n"/>
      <c r="F266" s="12">
        <f>IF(A266="","",IF(COUNTIF($A$2:$A$301,A266)&gt;1,"FEHLER: Produkt mehrfach aktiv",IF(COUNTIF(Faesser!$A$2:$A$301,C266)=0,"FEHLER: Fassnummer unbekannt",IF(IFERROR(INDEX(Faesser!$B$2:$B$301,MATCH(C266,Faesser!$A$2:$A$301,0)),"")&lt;&gt;A266,"WARNUNG: Fass enthält anderes Produkt","OK"))))</f>
        <v/>
      </c>
      <c r="G266" s="7" t="n"/>
    </row>
    <row r="267">
      <c r="A267" s="7" t="n"/>
      <c r="B267" s="12">
        <f>IFERROR(INDEX(Produkte!$B$2:$B$301,MATCH(A267,Produkte!$A$2:$A$301,0)),"")</f>
        <v/>
      </c>
      <c r="C267" s="7" t="n"/>
      <c r="D267" s="18" t="n"/>
      <c r="E267" s="7" t="n"/>
      <c r="F267" s="12">
        <f>IF(A267="","",IF(COUNTIF($A$2:$A$301,A267)&gt;1,"FEHLER: Produkt mehrfach aktiv",IF(COUNTIF(Faesser!$A$2:$A$301,C267)=0,"FEHLER: Fassnummer unbekannt",IF(IFERROR(INDEX(Faesser!$B$2:$B$301,MATCH(C267,Faesser!$A$2:$A$301,0)),"")&lt;&gt;A267,"WARNUNG: Fass enthält anderes Produkt","OK"))))</f>
        <v/>
      </c>
      <c r="G267" s="7" t="n"/>
    </row>
    <row r="268">
      <c r="A268" s="7" t="n"/>
      <c r="B268" s="12">
        <f>IFERROR(INDEX(Produkte!$B$2:$B$301,MATCH(A268,Produkte!$A$2:$A$301,0)),"")</f>
        <v/>
      </c>
      <c r="C268" s="7" t="n"/>
      <c r="D268" s="18" t="n"/>
      <c r="E268" s="7" t="n"/>
      <c r="F268" s="12">
        <f>IF(A268="","",IF(COUNTIF($A$2:$A$301,A268)&gt;1,"FEHLER: Produkt mehrfach aktiv",IF(COUNTIF(Faesser!$A$2:$A$301,C268)=0,"FEHLER: Fassnummer unbekannt",IF(IFERROR(INDEX(Faesser!$B$2:$B$301,MATCH(C268,Faesser!$A$2:$A$301,0)),"")&lt;&gt;A268,"WARNUNG: Fass enthält anderes Produkt","OK"))))</f>
        <v/>
      </c>
      <c r="G268" s="7" t="n"/>
    </row>
    <row r="269">
      <c r="A269" s="7" t="n"/>
      <c r="B269" s="12">
        <f>IFERROR(INDEX(Produkte!$B$2:$B$301,MATCH(A269,Produkte!$A$2:$A$301,0)),"")</f>
        <v/>
      </c>
      <c r="C269" s="7" t="n"/>
      <c r="D269" s="18" t="n"/>
      <c r="E269" s="7" t="n"/>
      <c r="F269" s="12">
        <f>IF(A269="","",IF(COUNTIF($A$2:$A$301,A269)&gt;1,"FEHLER: Produkt mehrfach aktiv",IF(COUNTIF(Faesser!$A$2:$A$301,C269)=0,"FEHLER: Fassnummer unbekannt",IF(IFERROR(INDEX(Faesser!$B$2:$B$301,MATCH(C269,Faesser!$A$2:$A$301,0)),"")&lt;&gt;A269,"WARNUNG: Fass enthält anderes Produkt","OK"))))</f>
        <v/>
      </c>
      <c r="G269" s="7" t="n"/>
    </row>
    <row r="270">
      <c r="A270" s="7" t="n"/>
      <c r="B270" s="12">
        <f>IFERROR(INDEX(Produkte!$B$2:$B$301,MATCH(A270,Produkte!$A$2:$A$301,0)),"")</f>
        <v/>
      </c>
      <c r="C270" s="7" t="n"/>
      <c r="D270" s="18" t="n"/>
      <c r="E270" s="7" t="n"/>
      <c r="F270" s="12">
        <f>IF(A270="","",IF(COUNTIF($A$2:$A$301,A270)&gt;1,"FEHLER: Produkt mehrfach aktiv",IF(COUNTIF(Faesser!$A$2:$A$301,C270)=0,"FEHLER: Fassnummer unbekannt",IF(IFERROR(INDEX(Faesser!$B$2:$B$301,MATCH(C270,Faesser!$A$2:$A$301,0)),"")&lt;&gt;A270,"WARNUNG: Fass enthält anderes Produkt","OK"))))</f>
        <v/>
      </c>
      <c r="G270" s="7" t="n"/>
    </row>
    <row r="271">
      <c r="A271" s="7" t="n"/>
      <c r="B271" s="12">
        <f>IFERROR(INDEX(Produkte!$B$2:$B$301,MATCH(A271,Produkte!$A$2:$A$301,0)),"")</f>
        <v/>
      </c>
      <c r="C271" s="7" t="n"/>
      <c r="D271" s="18" t="n"/>
      <c r="E271" s="7" t="n"/>
      <c r="F271" s="12">
        <f>IF(A271="","",IF(COUNTIF($A$2:$A$301,A271)&gt;1,"FEHLER: Produkt mehrfach aktiv",IF(COUNTIF(Faesser!$A$2:$A$301,C271)=0,"FEHLER: Fassnummer unbekannt",IF(IFERROR(INDEX(Faesser!$B$2:$B$301,MATCH(C271,Faesser!$A$2:$A$301,0)),"")&lt;&gt;A271,"WARNUNG: Fass enthält anderes Produkt","OK"))))</f>
        <v/>
      </c>
      <c r="G271" s="7" t="n"/>
    </row>
    <row r="272">
      <c r="A272" s="7" t="n"/>
      <c r="B272" s="12">
        <f>IFERROR(INDEX(Produkte!$B$2:$B$301,MATCH(A272,Produkte!$A$2:$A$301,0)),"")</f>
        <v/>
      </c>
      <c r="C272" s="7" t="n"/>
      <c r="D272" s="18" t="n"/>
      <c r="E272" s="7" t="n"/>
      <c r="F272" s="12">
        <f>IF(A272="","",IF(COUNTIF($A$2:$A$301,A272)&gt;1,"FEHLER: Produkt mehrfach aktiv",IF(COUNTIF(Faesser!$A$2:$A$301,C272)=0,"FEHLER: Fassnummer unbekannt",IF(IFERROR(INDEX(Faesser!$B$2:$B$301,MATCH(C272,Faesser!$A$2:$A$301,0)),"")&lt;&gt;A272,"WARNUNG: Fass enthält anderes Produkt","OK"))))</f>
        <v/>
      </c>
      <c r="G272" s="7" t="n"/>
    </row>
    <row r="273">
      <c r="A273" s="7" t="n"/>
      <c r="B273" s="12">
        <f>IFERROR(INDEX(Produkte!$B$2:$B$301,MATCH(A273,Produkte!$A$2:$A$301,0)),"")</f>
        <v/>
      </c>
      <c r="C273" s="7" t="n"/>
      <c r="D273" s="18" t="n"/>
      <c r="E273" s="7" t="n"/>
      <c r="F273" s="12">
        <f>IF(A273="","",IF(COUNTIF($A$2:$A$301,A273)&gt;1,"FEHLER: Produkt mehrfach aktiv",IF(COUNTIF(Faesser!$A$2:$A$301,C273)=0,"FEHLER: Fassnummer unbekannt",IF(IFERROR(INDEX(Faesser!$B$2:$B$301,MATCH(C273,Faesser!$A$2:$A$301,0)),"")&lt;&gt;A273,"WARNUNG: Fass enthält anderes Produkt","OK"))))</f>
        <v/>
      </c>
      <c r="G273" s="7" t="n"/>
    </row>
    <row r="274">
      <c r="A274" s="7" t="n"/>
      <c r="B274" s="12">
        <f>IFERROR(INDEX(Produkte!$B$2:$B$301,MATCH(A274,Produkte!$A$2:$A$301,0)),"")</f>
        <v/>
      </c>
      <c r="C274" s="7" t="n"/>
      <c r="D274" s="18" t="n"/>
      <c r="E274" s="7" t="n"/>
      <c r="F274" s="12">
        <f>IF(A274="","",IF(COUNTIF($A$2:$A$301,A274)&gt;1,"FEHLER: Produkt mehrfach aktiv",IF(COUNTIF(Faesser!$A$2:$A$301,C274)=0,"FEHLER: Fassnummer unbekannt",IF(IFERROR(INDEX(Faesser!$B$2:$B$301,MATCH(C274,Faesser!$A$2:$A$301,0)),"")&lt;&gt;A274,"WARNUNG: Fass enthält anderes Produkt","OK"))))</f>
        <v/>
      </c>
      <c r="G274" s="7" t="n"/>
    </row>
    <row r="275">
      <c r="A275" s="7" t="n"/>
      <c r="B275" s="12">
        <f>IFERROR(INDEX(Produkte!$B$2:$B$301,MATCH(A275,Produkte!$A$2:$A$301,0)),"")</f>
        <v/>
      </c>
      <c r="C275" s="7" t="n"/>
      <c r="D275" s="18" t="n"/>
      <c r="E275" s="7" t="n"/>
      <c r="F275" s="12">
        <f>IF(A275="","",IF(COUNTIF($A$2:$A$301,A275)&gt;1,"FEHLER: Produkt mehrfach aktiv",IF(COUNTIF(Faesser!$A$2:$A$301,C275)=0,"FEHLER: Fassnummer unbekannt",IF(IFERROR(INDEX(Faesser!$B$2:$B$301,MATCH(C275,Faesser!$A$2:$A$301,0)),"")&lt;&gt;A275,"WARNUNG: Fass enthält anderes Produkt","OK"))))</f>
        <v/>
      </c>
      <c r="G275" s="7" t="n"/>
    </row>
    <row r="276">
      <c r="A276" s="7" t="n"/>
      <c r="B276" s="12">
        <f>IFERROR(INDEX(Produkte!$B$2:$B$301,MATCH(A276,Produkte!$A$2:$A$301,0)),"")</f>
        <v/>
      </c>
      <c r="C276" s="7" t="n"/>
      <c r="D276" s="18" t="n"/>
      <c r="E276" s="7" t="n"/>
      <c r="F276" s="12">
        <f>IF(A276="","",IF(COUNTIF($A$2:$A$301,A276)&gt;1,"FEHLER: Produkt mehrfach aktiv",IF(COUNTIF(Faesser!$A$2:$A$301,C276)=0,"FEHLER: Fassnummer unbekannt",IF(IFERROR(INDEX(Faesser!$B$2:$B$301,MATCH(C276,Faesser!$A$2:$A$301,0)),"")&lt;&gt;A276,"WARNUNG: Fass enthält anderes Produkt","OK"))))</f>
        <v/>
      </c>
      <c r="G276" s="7" t="n"/>
    </row>
    <row r="277">
      <c r="A277" s="7" t="n"/>
      <c r="B277" s="12">
        <f>IFERROR(INDEX(Produkte!$B$2:$B$301,MATCH(A277,Produkte!$A$2:$A$301,0)),"")</f>
        <v/>
      </c>
      <c r="C277" s="7" t="n"/>
      <c r="D277" s="18" t="n"/>
      <c r="E277" s="7" t="n"/>
      <c r="F277" s="12">
        <f>IF(A277="","",IF(COUNTIF($A$2:$A$301,A277)&gt;1,"FEHLER: Produkt mehrfach aktiv",IF(COUNTIF(Faesser!$A$2:$A$301,C277)=0,"FEHLER: Fassnummer unbekannt",IF(IFERROR(INDEX(Faesser!$B$2:$B$301,MATCH(C277,Faesser!$A$2:$A$301,0)),"")&lt;&gt;A277,"WARNUNG: Fass enthält anderes Produkt","OK"))))</f>
        <v/>
      </c>
      <c r="G277" s="7" t="n"/>
    </row>
    <row r="278">
      <c r="A278" s="7" t="n"/>
      <c r="B278" s="12">
        <f>IFERROR(INDEX(Produkte!$B$2:$B$301,MATCH(A278,Produkte!$A$2:$A$301,0)),"")</f>
        <v/>
      </c>
      <c r="C278" s="7" t="n"/>
      <c r="D278" s="18" t="n"/>
      <c r="E278" s="7" t="n"/>
      <c r="F278" s="12">
        <f>IF(A278="","",IF(COUNTIF($A$2:$A$301,A278)&gt;1,"FEHLER: Produkt mehrfach aktiv",IF(COUNTIF(Faesser!$A$2:$A$301,C278)=0,"FEHLER: Fassnummer unbekannt",IF(IFERROR(INDEX(Faesser!$B$2:$B$301,MATCH(C278,Faesser!$A$2:$A$301,0)),"")&lt;&gt;A278,"WARNUNG: Fass enthält anderes Produkt","OK"))))</f>
        <v/>
      </c>
      <c r="G278" s="7" t="n"/>
    </row>
    <row r="279">
      <c r="A279" s="7" t="n"/>
      <c r="B279" s="12">
        <f>IFERROR(INDEX(Produkte!$B$2:$B$301,MATCH(A279,Produkte!$A$2:$A$301,0)),"")</f>
        <v/>
      </c>
      <c r="C279" s="7" t="n"/>
      <c r="D279" s="18" t="n"/>
      <c r="E279" s="7" t="n"/>
      <c r="F279" s="12">
        <f>IF(A279="","",IF(COUNTIF($A$2:$A$301,A279)&gt;1,"FEHLER: Produkt mehrfach aktiv",IF(COUNTIF(Faesser!$A$2:$A$301,C279)=0,"FEHLER: Fassnummer unbekannt",IF(IFERROR(INDEX(Faesser!$B$2:$B$301,MATCH(C279,Faesser!$A$2:$A$301,0)),"")&lt;&gt;A279,"WARNUNG: Fass enthält anderes Produkt","OK"))))</f>
        <v/>
      </c>
      <c r="G279" s="7" t="n"/>
    </row>
    <row r="280">
      <c r="A280" s="7" t="n"/>
      <c r="B280" s="12">
        <f>IFERROR(INDEX(Produkte!$B$2:$B$301,MATCH(A280,Produkte!$A$2:$A$301,0)),"")</f>
        <v/>
      </c>
      <c r="C280" s="7" t="n"/>
      <c r="D280" s="18" t="n"/>
      <c r="E280" s="7" t="n"/>
      <c r="F280" s="12">
        <f>IF(A280="","",IF(COUNTIF($A$2:$A$301,A280)&gt;1,"FEHLER: Produkt mehrfach aktiv",IF(COUNTIF(Faesser!$A$2:$A$301,C280)=0,"FEHLER: Fassnummer unbekannt",IF(IFERROR(INDEX(Faesser!$B$2:$B$301,MATCH(C280,Faesser!$A$2:$A$301,0)),"")&lt;&gt;A280,"WARNUNG: Fass enthält anderes Produkt","OK"))))</f>
        <v/>
      </c>
      <c r="G280" s="7" t="n"/>
    </row>
    <row r="281">
      <c r="A281" s="7" t="n"/>
      <c r="B281" s="12">
        <f>IFERROR(INDEX(Produkte!$B$2:$B$301,MATCH(A281,Produkte!$A$2:$A$301,0)),"")</f>
        <v/>
      </c>
      <c r="C281" s="7" t="n"/>
      <c r="D281" s="18" t="n"/>
      <c r="E281" s="7" t="n"/>
      <c r="F281" s="12">
        <f>IF(A281="","",IF(COUNTIF($A$2:$A$301,A281)&gt;1,"FEHLER: Produkt mehrfach aktiv",IF(COUNTIF(Faesser!$A$2:$A$301,C281)=0,"FEHLER: Fassnummer unbekannt",IF(IFERROR(INDEX(Faesser!$B$2:$B$301,MATCH(C281,Faesser!$A$2:$A$301,0)),"")&lt;&gt;A281,"WARNUNG: Fass enthält anderes Produkt","OK"))))</f>
        <v/>
      </c>
      <c r="G281" s="7" t="n"/>
    </row>
    <row r="282">
      <c r="A282" s="7" t="n"/>
      <c r="B282" s="12">
        <f>IFERROR(INDEX(Produkte!$B$2:$B$301,MATCH(A282,Produkte!$A$2:$A$301,0)),"")</f>
        <v/>
      </c>
      <c r="C282" s="7" t="n"/>
      <c r="D282" s="18" t="n"/>
      <c r="E282" s="7" t="n"/>
      <c r="F282" s="12">
        <f>IF(A282="","",IF(COUNTIF($A$2:$A$301,A282)&gt;1,"FEHLER: Produkt mehrfach aktiv",IF(COUNTIF(Faesser!$A$2:$A$301,C282)=0,"FEHLER: Fassnummer unbekannt",IF(IFERROR(INDEX(Faesser!$B$2:$B$301,MATCH(C282,Faesser!$A$2:$A$301,0)),"")&lt;&gt;A282,"WARNUNG: Fass enthält anderes Produkt","OK"))))</f>
        <v/>
      </c>
      <c r="G282" s="7" t="n"/>
    </row>
    <row r="283">
      <c r="A283" s="7" t="n"/>
      <c r="B283" s="12">
        <f>IFERROR(INDEX(Produkte!$B$2:$B$301,MATCH(A283,Produkte!$A$2:$A$301,0)),"")</f>
        <v/>
      </c>
      <c r="C283" s="7" t="n"/>
      <c r="D283" s="18" t="n"/>
      <c r="E283" s="7" t="n"/>
      <c r="F283" s="12">
        <f>IF(A283="","",IF(COUNTIF($A$2:$A$301,A283)&gt;1,"FEHLER: Produkt mehrfach aktiv",IF(COUNTIF(Faesser!$A$2:$A$301,C283)=0,"FEHLER: Fassnummer unbekannt",IF(IFERROR(INDEX(Faesser!$B$2:$B$301,MATCH(C283,Faesser!$A$2:$A$301,0)),"")&lt;&gt;A283,"WARNUNG: Fass enthält anderes Produkt","OK"))))</f>
        <v/>
      </c>
      <c r="G283" s="7" t="n"/>
    </row>
    <row r="284">
      <c r="A284" s="7" t="n"/>
      <c r="B284" s="12">
        <f>IFERROR(INDEX(Produkte!$B$2:$B$301,MATCH(A284,Produkte!$A$2:$A$301,0)),"")</f>
        <v/>
      </c>
      <c r="C284" s="7" t="n"/>
      <c r="D284" s="18" t="n"/>
      <c r="E284" s="7" t="n"/>
      <c r="F284" s="12">
        <f>IF(A284="","",IF(COUNTIF($A$2:$A$301,A284)&gt;1,"FEHLER: Produkt mehrfach aktiv",IF(COUNTIF(Faesser!$A$2:$A$301,C284)=0,"FEHLER: Fassnummer unbekannt",IF(IFERROR(INDEX(Faesser!$B$2:$B$301,MATCH(C284,Faesser!$A$2:$A$301,0)),"")&lt;&gt;A284,"WARNUNG: Fass enthält anderes Produkt","OK"))))</f>
        <v/>
      </c>
      <c r="G284" s="7" t="n"/>
    </row>
    <row r="285">
      <c r="A285" s="7" t="n"/>
      <c r="B285" s="12">
        <f>IFERROR(INDEX(Produkte!$B$2:$B$301,MATCH(A285,Produkte!$A$2:$A$301,0)),"")</f>
        <v/>
      </c>
      <c r="C285" s="7" t="n"/>
      <c r="D285" s="18" t="n"/>
      <c r="E285" s="7" t="n"/>
      <c r="F285" s="12">
        <f>IF(A285="","",IF(COUNTIF($A$2:$A$301,A285)&gt;1,"FEHLER: Produkt mehrfach aktiv",IF(COUNTIF(Faesser!$A$2:$A$301,C285)=0,"FEHLER: Fassnummer unbekannt",IF(IFERROR(INDEX(Faesser!$B$2:$B$301,MATCH(C285,Faesser!$A$2:$A$301,0)),"")&lt;&gt;A285,"WARNUNG: Fass enthält anderes Produkt","OK"))))</f>
        <v/>
      </c>
      <c r="G285" s="7" t="n"/>
    </row>
    <row r="286">
      <c r="A286" s="7" t="n"/>
      <c r="B286" s="12">
        <f>IFERROR(INDEX(Produkte!$B$2:$B$301,MATCH(A286,Produkte!$A$2:$A$301,0)),"")</f>
        <v/>
      </c>
      <c r="C286" s="7" t="n"/>
      <c r="D286" s="18" t="n"/>
      <c r="E286" s="7" t="n"/>
      <c r="F286" s="12">
        <f>IF(A286="","",IF(COUNTIF($A$2:$A$301,A286)&gt;1,"FEHLER: Produkt mehrfach aktiv",IF(COUNTIF(Faesser!$A$2:$A$301,C286)=0,"FEHLER: Fassnummer unbekannt",IF(IFERROR(INDEX(Faesser!$B$2:$B$301,MATCH(C286,Faesser!$A$2:$A$301,0)),"")&lt;&gt;A286,"WARNUNG: Fass enthält anderes Produkt","OK"))))</f>
        <v/>
      </c>
      <c r="G286" s="7" t="n"/>
    </row>
    <row r="287">
      <c r="A287" s="7" t="n"/>
      <c r="B287" s="12">
        <f>IFERROR(INDEX(Produkte!$B$2:$B$301,MATCH(A287,Produkte!$A$2:$A$301,0)),"")</f>
        <v/>
      </c>
      <c r="C287" s="7" t="n"/>
      <c r="D287" s="18" t="n"/>
      <c r="E287" s="7" t="n"/>
      <c r="F287" s="12">
        <f>IF(A287="","",IF(COUNTIF($A$2:$A$301,A287)&gt;1,"FEHLER: Produkt mehrfach aktiv",IF(COUNTIF(Faesser!$A$2:$A$301,C287)=0,"FEHLER: Fassnummer unbekannt",IF(IFERROR(INDEX(Faesser!$B$2:$B$301,MATCH(C287,Faesser!$A$2:$A$301,0)),"")&lt;&gt;A287,"WARNUNG: Fass enthält anderes Produkt","OK"))))</f>
        <v/>
      </c>
      <c r="G287" s="7" t="n"/>
    </row>
    <row r="288">
      <c r="A288" s="7" t="n"/>
      <c r="B288" s="12">
        <f>IFERROR(INDEX(Produkte!$B$2:$B$301,MATCH(A288,Produkte!$A$2:$A$301,0)),"")</f>
        <v/>
      </c>
      <c r="C288" s="7" t="n"/>
      <c r="D288" s="18" t="n"/>
      <c r="E288" s="7" t="n"/>
      <c r="F288" s="12">
        <f>IF(A288="","",IF(COUNTIF($A$2:$A$301,A288)&gt;1,"FEHLER: Produkt mehrfach aktiv",IF(COUNTIF(Faesser!$A$2:$A$301,C288)=0,"FEHLER: Fassnummer unbekannt",IF(IFERROR(INDEX(Faesser!$B$2:$B$301,MATCH(C288,Faesser!$A$2:$A$301,0)),"")&lt;&gt;A288,"WARNUNG: Fass enthält anderes Produkt","OK"))))</f>
        <v/>
      </c>
      <c r="G288" s="7" t="n"/>
    </row>
    <row r="289">
      <c r="A289" s="7" t="n"/>
      <c r="B289" s="12">
        <f>IFERROR(INDEX(Produkte!$B$2:$B$301,MATCH(A289,Produkte!$A$2:$A$301,0)),"")</f>
        <v/>
      </c>
      <c r="C289" s="7" t="n"/>
      <c r="D289" s="18" t="n"/>
      <c r="E289" s="7" t="n"/>
      <c r="F289" s="12">
        <f>IF(A289="","",IF(COUNTIF($A$2:$A$301,A289)&gt;1,"FEHLER: Produkt mehrfach aktiv",IF(COUNTIF(Faesser!$A$2:$A$301,C289)=0,"FEHLER: Fassnummer unbekannt",IF(IFERROR(INDEX(Faesser!$B$2:$B$301,MATCH(C289,Faesser!$A$2:$A$301,0)),"")&lt;&gt;A289,"WARNUNG: Fass enthält anderes Produkt","OK"))))</f>
        <v/>
      </c>
      <c r="G289" s="7" t="n"/>
    </row>
    <row r="290">
      <c r="A290" s="7" t="n"/>
      <c r="B290" s="12">
        <f>IFERROR(INDEX(Produkte!$B$2:$B$301,MATCH(A290,Produkte!$A$2:$A$301,0)),"")</f>
        <v/>
      </c>
      <c r="C290" s="7" t="n"/>
      <c r="D290" s="18" t="n"/>
      <c r="E290" s="7" t="n"/>
      <c r="F290" s="12">
        <f>IF(A290="","",IF(COUNTIF($A$2:$A$301,A290)&gt;1,"FEHLER: Produkt mehrfach aktiv",IF(COUNTIF(Faesser!$A$2:$A$301,C290)=0,"FEHLER: Fassnummer unbekannt",IF(IFERROR(INDEX(Faesser!$B$2:$B$301,MATCH(C290,Faesser!$A$2:$A$301,0)),"")&lt;&gt;A290,"WARNUNG: Fass enthält anderes Produkt","OK"))))</f>
        <v/>
      </c>
      <c r="G290" s="7" t="n"/>
    </row>
    <row r="291">
      <c r="A291" s="7" t="n"/>
      <c r="B291" s="12">
        <f>IFERROR(INDEX(Produkte!$B$2:$B$301,MATCH(A291,Produkte!$A$2:$A$301,0)),"")</f>
        <v/>
      </c>
      <c r="C291" s="7" t="n"/>
      <c r="D291" s="18" t="n"/>
      <c r="E291" s="7" t="n"/>
      <c r="F291" s="12">
        <f>IF(A291="","",IF(COUNTIF($A$2:$A$301,A291)&gt;1,"FEHLER: Produkt mehrfach aktiv",IF(COUNTIF(Faesser!$A$2:$A$301,C291)=0,"FEHLER: Fassnummer unbekannt",IF(IFERROR(INDEX(Faesser!$B$2:$B$301,MATCH(C291,Faesser!$A$2:$A$301,0)),"")&lt;&gt;A291,"WARNUNG: Fass enthält anderes Produkt","OK"))))</f>
        <v/>
      </c>
      <c r="G291" s="7" t="n"/>
    </row>
    <row r="292">
      <c r="A292" s="7" t="n"/>
      <c r="B292" s="12">
        <f>IFERROR(INDEX(Produkte!$B$2:$B$301,MATCH(A292,Produkte!$A$2:$A$301,0)),"")</f>
        <v/>
      </c>
      <c r="C292" s="7" t="n"/>
      <c r="D292" s="18" t="n"/>
      <c r="E292" s="7" t="n"/>
      <c r="F292" s="12">
        <f>IF(A292="","",IF(COUNTIF($A$2:$A$301,A292)&gt;1,"FEHLER: Produkt mehrfach aktiv",IF(COUNTIF(Faesser!$A$2:$A$301,C292)=0,"FEHLER: Fassnummer unbekannt",IF(IFERROR(INDEX(Faesser!$B$2:$B$301,MATCH(C292,Faesser!$A$2:$A$301,0)),"")&lt;&gt;A292,"WARNUNG: Fass enthält anderes Produkt","OK"))))</f>
        <v/>
      </c>
      <c r="G292" s="7" t="n"/>
    </row>
    <row r="293">
      <c r="A293" s="7" t="n"/>
      <c r="B293" s="12">
        <f>IFERROR(INDEX(Produkte!$B$2:$B$301,MATCH(A293,Produkte!$A$2:$A$301,0)),"")</f>
        <v/>
      </c>
      <c r="C293" s="7" t="n"/>
      <c r="D293" s="18" t="n"/>
      <c r="E293" s="7" t="n"/>
      <c r="F293" s="12">
        <f>IF(A293="","",IF(COUNTIF($A$2:$A$301,A293)&gt;1,"FEHLER: Produkt mehrfach aktiv",IF(COUNTIF(Faesser!$A$2:$A$301,C293)=0,"FEHLER: Fassnummer unbekannt",IF(IFERROR(INDEX(Faesser!$B$2:$B$301,MATCH(C293,Faesser!$A$2:$A$301,0)),"")&lt;&gt;A293,"WARNUNG: Fass enthält anderes Produkt","OK"))))</f>
        <v/>
      </c>
      <c r="G293" s="7" t="n"/>
    </row>
    <row r="294">
      <c r="A294" s="7" t="n"/>
      <c r="B294" s="12">
        <f>IFERROR(INDEX(Produkte!$B$2:$B$301,MATCH(A294,Produkte!$A$2:$A$301,0)),"")</f>
        <v/>
      </c>
      <c r="C294" s="7" t="n"/>
      <c r="D294" s="18" t="n"/>
      <c r="E294" s="7" t="n"/>
      <c r="F294" s="12">
        <f>IF(A294="","",IF(COUNTIF($A$2:$A$301,A294)&gt;1,"FEHLER: Produkt mehrfach aktiv",IF(COUNTIF(Faesser!$A$2:$A$301,C294)=0,"FEHLER: Fassnummer unbekannt",IF(IFERROR(INDEX(Faesser!$B$2:$B$301,MATCH(C294,Faesser!$A$2:$A$301,0)),"")&lt;&gt;A294,"WARNUNG: Fass enthält anderes Produkt","OK"))))</f>
        <v/>
      </c>
      <c r="G294" s="7" t="n"/>
    </row>
    <row r="295">
      <c r="A295" s="7" t="n"/>
      <c r="B295" s="12">
        <f>IFERROR(INDEX(Produkte!$B$2:$B$301,MATCH(A295,Produkte!$A$2:$A$301,0)),"")</f>
        <v/>
      </c>
      <c r="C295" s="7" t="n"/>
      <c r="D295" s="18" t="n"/>
      <c r="E295" s="7" t="n"/>
      <c r="F295" s="12">
        <f>IF(A295="","",IF(COUNTIF($A$2:$A$301,A295)&gt;1,"FEHLER: Produkt mehrfach aktiv",IF(COUNTIF(Faesser!$A$2:$A$301,C295)=0,"FEHLER: Fassnummer unbekannt",IF(IFERROR(INDEX(Faesser!$B$2:$B$301,MATCH(C295,Faesser!$A$2:$A$301,0)),"")&lt;&gt;A295,"WARNUNG: Fass enthält anderes Produkt","OK"))))</f>
        <v/>
      </c>
      <c r="G295" s="7" t="n"/>
    </row>
    <row r="296">
      <c r="A296" s="7" t="n"/>
      <c r="B296" s="12">
        <f>IFERROR(INDEX(Produkte!$B$2:$B$301,MATCH(A296,Produkte!$A$2:$A$301,0)),"")</f>
        <v/>
      </c>
      <c r="C296" s="7" t="n"/>
      <c r="D296" s="18" t="n"/>
      <c r="E296" s="7" t="n"/>
      <c r="F296" s="12">
        <f>IF(A296="","",IF(COUNTIF($A$2:$A$301,A296)&gt;1,"FEHLER: Produkt mehrfach aktiv",IF(COUNTIF(Faesser!$A$2:$A$301,C296)=0,"FEHLER: Fassnummer unbekannt",IF(IFERROR(INDEX(Faesser!$B$2:$B$301,MATCH(C296,Faesser!$A$2:$A$301,0)),"")&lt;&gt;A296,"WARNUNG: Fass enthält anderes Produkt","OK"))))</f>
        <v/>
      </c>
      <c r="G296" s="7" t="n"/>
    </row>
    <row r="297">
      <c r="A297" s="7" t="n"/>
      <c r="B297" s="12">
        <f>IFERROR(INDEX(Produkte!$B$2:$B$301,MATCH(A297,Produkte!$A$2:$A$301,0)),"")</f>
        <v/>
      </c>
      <c r="C297" s="7" t="n"/>
      <c r="D297" s="18" t="n"/>
      <c r="E297" s="7" t="n"/>
      <c r="F297" s="12">
        <f>IF(A297="","",IF(COUNTIF($A$2:$A$301,A297)&gt;1,"FEHLER: Produkt mehrfach aktiv",IF(COUNTIF(Faesser!$A$2:$A$301,C297)=0,"FEHLER: Fassnummer unbekannt",IF(IFERROR(INDEX(Faesser!$B$2:$B$301,MATCH(C297,Faesser!$A$2:$A$301,0)),"")&lt;&gt;A297,"WARNUNG: Fass enthält anderes Produkt","OK"))))</f>
        <v/>
      </c>
      <c r="G297" s="7" t="n"/>
    </row>
    <row r="298">
      <c r="A298" s="7" t="n"/>
      <c r="B298" s="12">
        <f>IFERROR(INDEX(Produkte!$B$2:$B$301,MATCH(A298,Produkte!$A$2:$A$301,0)),"")</f>
        <v/>
      </c>
      <c r="C298" s="7" t="n"/>
      <c r="D298" s="18" t="n"/>
      <c r="E298" s="7" t="n"/>
      <c r="F298" s="12">
        <f>IF(A298="","",IF(COUNTIF($A$2:$A$301,A298)&gt;1,"FEHLER: Produkt mehrfach aktiv",IF(COUNTIF(Faesser!$A$2:$A$301,C298)=0,"FEHLER: Fassnummer unbekannt",IF(IFERROR(INDEX(Faesser!$B$2:$B$301,MATCH(C298,Faesser!$A$2:$A$301,0)),"")&lt;&gt;A298,"WARNUNG: Fass enthält anderes Produkt","OK"))))</f>
        <v/>
      </c>
      <c r="G298" s="7" t="n"/>
    </row>
    <row r="299">
      <c r="A299" s="7" t="n"/>
      <c r="B299" s="12">
        <f>IFERROR(INDEX(Produkte!$B$2:$B$301,MATCH(A299,Produkte!$A$2:$A$301,0)),"")</f>
        <v/>
      </c>
      <c r="C299" s="7" t="n"/>
      <c r="D299" s="18" t="n"/>
      <c r="E299" s="7" t="n"/>
      <c r="F299" s="12">
        <f>IF(A299="","",IF(COUNTIF($A$2:$A$301,A299)&gt;1,"FEHLER: Produkt mehrfach aktiv",IF(COUNTIF(Faesser!$A$2:$A$301,C299)=0,"FEHLER: Fassnummer unbekannt",IF(IFERROR(INDEX(Faesser!$B$2:$B$301,MATCH(C299,Faesser!$A$2:$A$301,0)),"")&lt;&gt;A299,"WARNUNG: Fass enthält anderes Produkt","OK"))))</f>
        <v/>
      </c>
      <c r="G299" s="7" t="n"/>
    </row>
    <row r="300">
      <c r="A300" s="7" t="n"/>
      <c r="B300" s="12">
        <f>IFERROR(INDEX(Produkte!$B$2:$B$301,MATCH(A300,Produkte!$A$2:$A$301,0)),"")</f>
        <v/>
      </c>
      <c r="C300" s="7" t="n"/>
      <c r="D300" s="18" t="n"/>
      <c r="E300" s="7" t="n"/>
      <c r="F300" s="12">
        <f>IF(A300="","",IF(COUNTIF($A$2:$A$301,A300)&gt;1,"FEHLER: Produkt mehrfach aktiv",IF(COUNTIF(Faesser!$A$2:$A$301,C300)=0,"FEHLER: Fassnummer unbekannt",IF(IFERROR(INDEX(Faesser!$B$2:$B$301,MATCH(C300,Faesser!$A$2:$A$301,0)),"")&lt;&gt;A300,"WARNUNG: Fass enthält anderes Produkt","OK"))))</f>
        <v/>
      </c>
      <c r="G300" s="7" t="n"/>
    </row>
    <row r="301">
      <c r="A301" s="7" t="n"/>
      <c r="B301" s="12">
        <f>IFERROR(INDEX(Produkte!$B$2:$B$301,MATCH(A301,Produkte!$A$2:$A$301,0)),"")</f>
        <v/>
      </c>
      <c r="C301" s="7" t="n"/>
      <c r="D301" s="18" t="n"/>
      <c r="E301" s="7" t="n"/>
      <c r="F301" s="12">
        <f>IF(A301="","",IF(COUNTIF($A$2:$A$301,A301)&gt;1,"FEHLER: Produkt mehrfach aktiv",IF(COUNTIF(Faesser!$A$2:$A$301,C301)=0,"FEHLER: Fassnummer unbekannt",IF(IFERROR(INDEX(Faesser!$B$2:$B$301,MATCH(C301,Faesser!$A$2:$A$301,0)),"")&lt;&gt;A301,"WARNUNG: Fass enthält anderes Produkt","OK"))))</f>
        <v/>
      </c>
      <c r="G301" s="7" t="n"/>
    </row>
  </sheetData>
  <autoFilter ref="A1:G301"/>
  <dataValidations count="2">
    <dataValidation sqref="A2:A301" showDropDown="0" showInputMessage="0" showErrorMessage="0" allowBlank="1" type="list">
      <formula1>=Produkte!$A$2:$A$301</formula1>
    </dataValidation>
    <dataValidation sqref="C2:C301" showDropDown="0" showInputMessage="0" showErrorMessage="0" allowBlank="1" type="list">
      <formula1>=Faesser!$A$2:$A$301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6" customWidth="1" min="4" max="4"/>
    <col width="14" customWidth="1" min="5" max="5"/>
    <col width="14" customWidth="1" min="6" max="6"/>
    <col width="16" customWidth="1" min="7" max="7"/>
    <col width="18" customWidth="1" min="8" max="8"/>
    <col width="14" customWidth="1" min="9" max="9"/>
    <col width="16" customWidth="1" min="10" max="10"/>
    <col width="30" customWidth="1" min="11" max="11"/>
  </cols>
  <sheetData>
    <row r="1" ht="32" customHeight="1">
      <c r="A1" s="10" t="inlineStr">
        <is>
          <t>Datum</t>
        </is>
      </c>
      <c r="B1" s="10" t="inlineStr">
        <is>
          <t>Fassnummer</t>
        </is>
      </c>
      <c r="C1" s="10" t="inlineStr">
        <is>
          <t>Artikelnummer (SKU)</t>
        </is>
      </c>
      <c r="D1" s="10" t="inlineStr">
        <is>
          <t>Produktname (automatisch)</t>
        </is>
      </c>
      <c r="E1" s="10" t="inlineStr">
        <is>
          <t>Flaschengröße (ml)</t>
        </is>
      </c>
      <c r="F1" s="10" t="inlineStr">
        <is>
          <t>Anzahl Flaschen</t>
        </is>
      </c>
      <c r="G1" s="10" t="inlineStr">
        <is>
          <t>Liter abgefüllt (automatisch)</t>
        </is>
      </c>
      <c r="H1" s="10" t="inlineStr">
        <is>
          <t>Losnummer</t>
        </is>
      </c>
      <c r="I1" s="10" t="inlineStr">
        <is>
          <t>Etiketten gedruckt</t>
        </is>
      </c>
      <c r="J1" s="10" t="inlineStr">
        <is>
          <t>Abgefüllt von</t>
        </is>
      </c>
      <c r="K1" s="10" t="inlineStr">
        <is>
          <t>Bemerkung</t>
        </is>
      </c>
    </row>
    <row r="2">
      <c r="A2" s="17" t="inlineStr">
        <is>
          <t>02.12.2025</t>
        </is>
      </c>
      <c r="B2" s="11" t="inlineStr">
        <is>
          <t>F-017</t>
        </is>
      </c>
      <c r="C2" s="11" t="inlineStr">
        <is>
          <t>APF-BRD-001</t>
        </is>
      </c>
      <c r="D2" s="12">
        <f>IFERROR(INDEX(Produkte!$B$2:$B$301,MATCH(C2,Produkte!$A$2:$A$301,0)),"")</f>
        <v/>
      </c>
      <c r="E2" s="11" t="n">
        <v>500</v>
      </c>
      <c r="F2" s="11" t="n">
        <v>60</v>
      </c>
      <c r="G2" s="12">
        <f>IF(OR(E2="",F2=""),"",E2*F2/1000)</f>
        <v/>
      </c>
      <c r="H2" s="11" t="inlineStr">
        <is>
          <t>F017-251202</t>
        </is>
      </c>
      <c r="I2" s="11" t="n">
        <v>60</v>
      </c>
      <c r="J2" s="11" t="inlineStr">
        <is>
          <t>Mario</t>
        </is>
      </c>
      <c r="K2" s="11" t="inlineStr">
        <is>
          <t>Beispielzeile – bitte überschreiben</t>
        </is>
      </c>
    </row>
    <row r="3">
      <c r="A3" s="18" t="n"/>
      <c r="B3" s="7" t="n"/>
      <c r="C3" s="7" t="n"/>
      <c r="D3" s="12">
        <f>IFERROR(INDEX(Produkte!$B$2:$B$301,MATCH(C3,Produkte!$A$2:$A$301,0)),"")</f>
        <v/>
      </c>
      <c r="E3" s="7" t="n"/>
      <c r="F3" s="7" t="n"/>
      <c r="G3" s="12">
        <f>IF(OR(E3="",F3=""),"",E3*F3/1000)</f>
        <v/>
      </c>
      <c r="H3" s="7" t="n"/>
      <c r="I3" s="7" t="n"/>
      <c r="J3" s="7" t="n"/>
      <c r="K3" s="7" t="n"/>
    </row>
    <row r="4">
      <c r="A4" s="18" t="n"/>
      <c r="B4" s="7" t="n"/>
      <c r="C4" s="7" t="n"/>
      <c r="D4" s="12">
        <f>IFERROR(INDEX(Produkte!$B$2:$B$301,MATCH(C4,Produkte!$A$2:$A$301,0)),"")</f>
        <v/>
      </c>
      <c r="E4" s="7" t="n"/>
      <c r="F4" s="7" t="n"/>
      <c r="G4" s="12">
        <f>IF(OR(E4="",F4=""),"",E4*F4/1000)</f>
        <v/>
      </c>
      <c r="H4" s="7" t="n"/>
      <c r="I4" s="7" t="n"/>
      <c r="J4" s="7" t="n"/>
      <c r="K4" s="7" t="n"/>
    </row>
    <row r="5">
      <c r="A5" s="18" t="n"/>
      <c r="B5" s="7" t="n"/>
      <c r="C5" s="7" t="n"/>
      <c r="D5" s="12">
        <f>IFERROR(INDEX(Produkte!$B$2:$B$301,MATCH(C5,Produkte!$A$2:$A$301,0)),"")</f>
        <v/>
      </c>
      <c r="E5" s="7" t="n"/>
      <c r="F5" s="7" t="n"/>
      <c r="G5" s="12">
        <f>IF(OR(E5="",F5=""),"",E5*F5/1000)</f>
        <v/>
      </c>
      <c r="H5" s="7" t="n"/>
      <c r="I5" s="7" t="n"/>
      <c r="J5" s="7" t="n"/>
      <c r="K5" s="7" t="n"/>
    </row>
    <row r="6">
      <c r="A6" s="18" t="n"/>
      <c r="B6" s="7" t="n"/>
      <c r="C6" s="7" t="n"/>
      <c r="D6" s="12">
        <f>IFERROR(INDEX(Produkte!$B$2:$B$301,MATCH(C6,Produkte!$A$2:$A$301,0)),"")</f>
        <v/>
      </c>
      <c r="E6" s="7" t="n"/>
      <c r="F6" s="7" t="n"/>
      <c r="G6" s="12">
        <f>IF(OR(E6="",F6=""),"",E6*F6/1000)</f>
        <v/>
      </c>
      <c r="H6" s="7" t="n"/>
      <c r="I6" s="7" t="n"/>
      <c r="J6" s="7" t="n"/>
      <c r="K6" s="7" t="n"/>
    </row>
    <row r="7">
      <c r="A7" s="18" t="n"/>
      <c r="B7" s="7" t="n"/>
      <c r="C7" s="7" t="n"/>
      <c r="D7" s="12">
        <f>IFERROR(INDEX(Produkte!$B$2:$B$301,MATCH(C7,Produkte!$A$2:$A$301,0)),"")</f>
        <v/>
      </c>
      <c r="E7" s="7" t="n"/>
      <c r="F7" s="7" t="n"/>
      <c r="G7" s="12">
        <f>IF(OR(E7="",F7=""),"",E7*F7/1000)</f>
        <v/>
      </c>
      <c r="H7" s="7" t="n"/>
      <c r="I7" s="7" t="n"/>
      <c r="J7" s="7" t="n"/>
      <c r="K7" s="7" t="n"/>
    </row>
    <row r="8">
      <c r="A8" s="18" t="n"/>
      <c r="B8" s="7" t="n"/>
      <c r="C8" s="7" t="n"/>
      <c r="D8" s="12">
        <f>IFERROR(INDEX(Produkte!$B$2:$B$301,MATCH(C8,Produkte!$A$2:$A$301,0)),"")</f>
        <v/>
      </c>
      <c r="E8" s="7" t="n"/>
      <c r="F8" s="7" t="n"/>
      <c r="G8" s="12">
        <f>IF(OR(E8="",F8=""),"",E8*F8/1000)</f>
        <v/>
      </c>
      <c r="H8" s="7" t="n"/>
      <c r="I8" s="7" t="n"/>
      <c r="J8" s="7" t="n"/>
      <c r="K8" s="7" t="n"/>
    </row>
    <row r="9">
      <c r="A9" s="18" t="n"/>
      <c r="B9" s="7" t="n"/>
      <c r="C9" s="7" t="n"/>
      <c r="D9" s="12">
        <f>IFERROR(INDEX(Produkte!$B$2:$B$301,MATCH(C9,Produkte!$A$2:$A$301,0)),"")</f>
        <v/>
      </c>
      <c r="E9" s="7" t="n"/>
      <c r="F9" s="7" t="n"/>
      <c r="G9" s="12">
        <f>IF(OR(E9="",F9=""),"",E9*F9/1000)</f>
        <v/>
      </c>
      <c r="H9" s="7" t="n"/>
      <c r="I9" s="7" t="n"/>
      <c r="J9" s="7" t="n"/>
      <c r="K9" s="7" t="n"/>
    </row>
    <row r="10">
      <c r="A10" s="18" t="n"/>
      <c r="B10" s="7" t="n"/>
      <c r="C10" s="7" t="n"/>
      <c r="D10" s="12">
        <f>IFERROR(INDEX(Produkte!$B$2:$B$301,MATCH(C10,Produkte!$A$2:$A$301,0)),"")</f>
        <v/>
      </c>
      <c r="E10" s="7" t="n"/>
      <c r="F10" s="7" t="n"/>
      <c r="G10" s="12">
        <f>IF(OR(E10="",F10=""),"",E10*F10/1000)</f>
        <v/>
      </c>
      <c r="H10" s="7" t="n"/>
      <c r="I10" s="7" t="n"/>
      <c r="J10" s="7" t="n"/>
      <c r="K10" s="7" t="n"/>
    </row>
    <row r="11">
      <c r="A11" s="18" t="n"/>
      <c r="B11" s="7" t="n"/>
      <c r="C11" s="7" t="n"/>
      <c r="D11" s="12">
        <f>IFERROR(INDEX(Produkte!$B$2:$B$301,MATCH(C11,Produkte!$A$2:$A$301,0)),"")</f>
        <v/>
      </c>
      <c r="E11" s="7" t="n"/>
      <c r="F11" s="7" t="n"/>
      <c r="G11" s="12">
        <f>IF(OR(E11="",F11=""),"",E11*F11/1000)</f>
        <v/>
      </c>
      <c r="H11" s="7" t="n"/>
      <c r="I11" s="7" t="n"/>
      <c r="J11" s="7" t="n"/>
      <c r="K11" s="7" t="n"/>
    </row>
    <row r="12">
      <c r="A12" s="18" t="n"/>
      <c r="B12" s="7" t="n"/>
      <c r="C12" s="7" t="n"/>
      <c r="D12" s="12">
        <f>IFERROR(INDEX(Produkte!$B$2:$B$301,MATCH(C12,Produkte!$A$2:$A$301,0)),"")</f>
        <v/>
      </c>
      <c r="E12" s="7" t="n"/>
      <c r="F12" s="7" t="n"/>
      <c r="G12" s="12">
        <f>IF(OR(E12="",F12=""),"",E12*F12/1000)</f>
        <v/>
      </c>
      <c r="H12" s="7" t="n"/>
      <c r="I12" s="7" t="n"/>
      <c r="J12" s="7" t="n"/>
      <c r="K12" s="7" t="n"/>
    </row>
    <row r="13">
      <c r="A13" s="18" t="n"/>
      <c r="B13" s="7" t="n"/>
      <c r="C13" s="7" t="n"/>
      <c r="D13" s="12">
        <f>IFERROR(INDEX(Produkte!$B$2:$B$301,MATCH(C13,Produkte!$A$2:$A$301,0)),"")</f>
        <v/>
      </c>
      <c r="E13" s="7" t="n"/>
      <c r="F13" s="7" t="n"/>
      <c r="G13" s="12">
        <f>IF(OR(E13="",F13=""),"",E13*F13/1000)</f>
        <v/>
      </c>
      <c r="H13" s="7" t="n"/>
      <c r="I13" s="7" t="n"/>
      <c r="J13" s="7" t="n"/>
      <c r="K13" s="7" t="n"/>
    </row>
    <row r="14">
      <c r="A14" s="18" t="n"/>
      <c r="B14" s="7" t="n"/>
      <c r="C14" s="7" t="n"/>
      <c r="D14" s="12">
        <f>IFERROR(INDEX(Produkte!$B$2:$B$301,MATCH(C14,Produkte!$A$2:$A$301,0)),"")</f>
        <v/>
      </c>
      <c r="E14" s="7" t="n"/>
      <c r="F14" s="7" t="n"/>
      <c r="G14" s="12">
        <f>IF(OR(E14="",F14=""),"",E14*F14/1000)</f>
        <v/>
      </c>
      <c r="H14" s="7" t="n"/>
      <c r="I14" s="7" t="n"/>
      <c r="J14" s="7" t="n"/>
      <c r="K14" s="7" t="n"/>
    </row>
    <row r="15">
      <c r="A15" s="18" t="n"/>
      <c r="B15" s="7" t="n"/>
      <c r="C15" s="7" t="n"/>
      <c r="D15" s="12">
        <f>IFERROR(INDEX(Produkte!$B$2:$B$301,MATCH(C15,Produkte!$A$2:$A$301,0)),"")</f>
        <v/>
      </c>
      <c r="E15" s="7" t="n"/>
      <c r="F15" s="7" t="n"/>
      <c r="G15" s="12">
        <f>IF(OR(E15="",F15=""),"",E15*F15/1000)</f>
        <v/>
      </c>
      <c r="H15" s="7" t="n"/>
      <c r="I15" s="7" t="n"/>
      <c r="J15" s="7" t="n"/>
      <c r="K15" s="7" t="n"/>
    </row>
    <row r="16">
      <c r="A16" s="18" t="n"/>
      <c r="B16" s="7" t="n"/>
      <c r="C16" s="7" t="n"/>
      <c r="D16" s="12">
        <f>IFERROR(INDEX(Produkte!$B$2:$B$301,MATCH(C16,Produkte!$A$2:$A$301,0)),"")</f>
        <v/>
      </c>
      <c r="E16" s="7" t="n"/>
      <c r="F16" s="7" t="n"/>
      <c r="G16" s="12">
        <f>IF(OR(E16="",F16=""),"",E16*F16/1000)</f>
        <v/>
      </c>
      <c r="H16" s="7" t="n"/>
      <c r="I16" s="7" t="n"/>
      <c r="J16" s="7" t="n"/>
      <c r="K16" s="7" t="n"/>
    </row>
    <row r="17">
      <c r="A17" s="18" t="n"/>
      <c r="B17" s="7" t="n"/>
      <c r="C17" s="7" t="n"/>
      <c r="D17" s="12">
        <f>IFERROR(INDEX(Produkte!$B$2:$B$301,MATCH(C17,Produkte!$A$2:$A$301,0)),"")</f>
        <v/>
      </c>
      <c r="E17" s="7" t="n"/>
      <c r="F17" s="7" t="n"/>
      <c r="G17" s="12">
        <f>IF(OR(E17="",F17=""),"",E17*F17/1000)</f>
        <v/>
      </c>
      <c r="H17" s="7" t="n"/>
      <c r="I17" s="7" t="n"/>
      <c r="J17" s="7" t="n"/>
      <c r="K17" s="7" t="n"/>
    </row>
    <row r="18">
      <c r="A18" s="18" t="n"/>
      <c r="B18" s="7" t="n"/>
      <c r="C18" s="7" t="n"/>
      <c r="D18" s="12">
        <f>IFERROR(INDEX(Produkte!$B$2:$B$301,MATCH(C18,Produkte!$A$2:$A$301,0)),"")</f>
        <v/>
      </c>
      <c r="E18" s="7" t="n"/>
      <c r="F18" s="7" t="n"/>
      <c r="G18" s="12">
        <f>IF(OR(E18="",F18=""),"",E18*F18/1000)</f>
        <v/>
      </c>
      <c r="H18" s="7" t="n"/>
      <c r="I18" s="7" t="n"/>
      <c r="J18" s="7" t="n"/>
      <c r="K18" s="7" t="n"/>
    </row>
    <row r="19">
      <c r="A19" s="18" t="n"/>
      <c r="B19" s="7" t="n"/>
      <c r="C19" s="7" t="n"/>
      <c r="D19" s="12">
        <f>IFERROR(INDEX(Produkte!$B$2:$B$301,MATCH(C19,Produkte!$A$2:$A$301,0)),"")</f>
        <v/>
      </c>
      <c r="E19" s="7" t="n"/>
      <c r="F19" s="7" t="n"/>
      <c r="G19" s="12">
        <f>IF(OR(E19="",F19=""),"",E19*F19/1000)</f>
        <v/>
      </c>
      <c r="H19" s="7" t="n"/>
      <c r="I19" s="7" t="n"/>
      <c r="J19" s="7" t="n"/>
      <c r="K19" s="7" t="n"/>
    </row>
    <row r="20">
      <c r="A20" s="18" t="n"/>
      <c r="B20" s="7" t="n"/>
      <c r="C20" s="7" t="n"/>
      <c r="D20" s="12">
        <f>IFERROR(INDEX(Produkte!$B$2:$B$301,MATCH(C20,Produkte!$A$2:$A$301,0)),"")</f>
        <v/>
      </c>
      <c r="E20" s="7" t="n"/>
      <c r="F20" s="7" t="n"/>
      <c r="G20" s="12">
        <f>IF(OR(E20="",F20=""),"",E20*F20/1000)</f>
        <v/>
      </c>
      <c r="H20" s="7" t="n"/>
      <c r="I20" s="7" t="n"/>
      <c r="J20" s="7" t="n"/>
      <c r="K20" s="7" t="n"/>
    </row>
    <row r="21">
      <c r="A21" s="18" t="n"/>
      <c r="B21" s="7" t="n"/>
      <c r="C21" s="7" t="n"/>
      <c r="D21" s="12">
        <f>IFERROR(INDEX(Produkte!$B$2:$B$301,MATCH(C21,Produkte!$A$2:$A$301,0)),"")</f>
        <v/>
      </c>
      <c r="E21" s="7" t="n"/>
      <c r="F21" s="7" t="n"/>
      <c r="G21" s="12">
        <f>IF(OR(E21="",F21=""),"",E21*F21/1000)</f>
        <v/>
      </c>
      <c r="H21" s="7" t="n"/>
      <c r="I21" s="7" t="n"/>
      <c r="J21" s="7" t="n"/>
      <c r="K21" s="7" t="n"/>
    </row>
    <row r="22">
      <c r="A22" s="18" t="n"/>
      <c r="B22" s="7" t="n"/>
      <c r="C22" s="7" t="n"/>
      <c r="D22" s="12">
        <f>IFERROR(INDEX(Produkte!$B$2:$B$301,MATCH(C22,Produkte!$A$2:$A$301,0)),"")</f>
        <v/>
      </c>
      <c r="E22" s="7" t="n"/>
      <c r="F22" s="7" t="n"/>
      <c r="G22" s="12">
        <f>IF(OR(E22="",F22=""),"",E22*F22/1000)</f>
        <v/>
      </c>
      <c r="H22" s="7" t="n"/>
      <c r="I22" s="7" t="n"/>
      <c r="J22" s="7" t="n"/>
      <c r="K22" s="7" t="n"/>
    </row>
    <row r="23">
      <c r="A23" s="18" t="n"/>
      <c r="B23" s="7" t="n"/>
      <c r="C23" s="7" t="n"/>
      <c r="D23" s="12">
        <f>IFERROR(INDEX(Produkte!$B$2:$B$301,MATCH(C23,Produkte!$A$2:$A$301,0)),"")</f>
        <v/>
      </c>
      <c r="E23" s="7" t="n"/>
      <c r="F23" s="7" t="n"/>
      <c r="G23" s="12">
        <f>IF(OR(E23="",F23=""),"",E23*F23/1000)</f>
        <v/>
      </c>
      <c r="H23" s="7" t="n"/>
      <c r="I23" s="7" t="n"/>
      <c r="J23" s="7" t="n"/>
      <c r="K23" s="7" t="n"/>
    </row>
    <row r="24">
      <c r="A24" s="18" t="n"/>
      <c r="B24" s="7" t="n"/>
      <c r="C24" s="7" t="n"/>
      <c r="D24" s="12">
        <f>IFERROR(INDEX(Produkte!$B$2:$B$301,MATCH(C24,Produkte!$A$2:$A$301,0)),"")</f>
        <v/>
      </c>
      <c r="E24" s="7" t="n"/>
      <c r="F24" s="7" t="n"/>
      <c r="G24" s="12">
        <f>IF(OR(E24="",F24=""),"",E24*F24/1000)</f>
        <v/>
      </c>
      <c r="H24" s="7" t="n"/>
      <c r="I24" s="7" t="n"/>
      <c r="J24" s="7" t="n"/>
      <c r="K24" s="7" t="n"/>
    </row>
    <row r="25">
      <c r="A25" s="18" t="n"/>
      <c r="B25" s="7" t="n"/>
      <c r="C25" s="7" t="n"/>
      <c r="D25" s="12">
        <f>IFERROR(INDEX(Produkte!$B$2:$B$301,MATCH(C25,Produkte!$A$2:$A$301,0)),"")</f>
        <v/>
      </c>
      <c r="E25" s="7" t="n"/>
      <c r="F25" s="7" t="n"/>
      <c r="G25" s="12">
        <f>IF(OR(E25="",F25=""),"",E25*F25/1000)</f>
        <v/>
      </c>
      <c r="H25" s="7" t="n"/>
      <c r="I25" s="7" t="n"/>
      <c r="J25" s="7" t="n"/>
      <c r="K25" s="7" t="n"/>
    </row>
    <row r="26">
      <c r="A26" s="18" t="n"/>
      <c r="B26" s="7" t="n"/>
      <c r="C26" s="7" t="n"/>
      <c r="D26" s="12">
        <f>IFERROR(INDEX(Produkte!$B$2:$B$301,MATCH(C26,Produkte!$A$2:$A$301,0)),"")</f>
        <v/>
      </c>
      <c r="E26" s="7" t="n"/>
      <c r="F26" s="7" t="n"/>
      <c r="G26" s="12">
        <f>IF(OR(E26="",F26=""),"",E26*F26/1000)</f>
        <v/>
      </c>
      <c r="H26" s="7" t="n"/>
      <c r="I26" s="7" t="n"/>
      <c r="J26" s="7" t="n"/>
      <c r="K26" s="7" t="n"/>
    </row>
    <row r="27">
      <c r="A27" s="18" t="n"/>
      <c r="B27" s="7" t="n"/>
      <c r="C27" s="7" t="n"/>
      <c r="D27" s="12">
        <f>IFERROR(INDEX(Produkte!$B$2:$B$301,MATCH(C27,Produkte!$A$2:$A$301,0)),"")</f>
        <v/>
      </c>
      <c r="E27" s="7" t="n"/>
      <c r="F27" s="7" t="n"/>
      <c r="G27" s="12">
        <f>IF(OR(E27="",F27=""),"",E27*F27/1000)</f>
        <v/>
      </c>
      <c r="H27" s="7" t="n"/>
      <c r="I27" s="7" t="n"/>
      <c r="J27" s="7" t="n"/>
      <c r="K27" s="7" t="n"/>
    </row>
    <row r="28">
      <c r="A28" s="18" t="n"/>
      <c r="B28" s="7" t="n"/>
      <c r="C28" s="7" t="n"/>
      <c r="D28" s="12">
        <f>IFERROR(INDEX(Produkte!$B$2:$B$301,MATCH(C28,Produkte!$A$2:$A$301,0)),"")</f>
        <v/>
      </c>
      <c r="E28" s="7" t="n"/>
      <c r="F28" s="7" t="n"/>
      <c r="G28" s="12">
        <f>IF(OR(E28="",F28=""),"",E28*F28/1000)</f>
        <v/>
      </c>
      <c r="H28" s="7" t="n"/>
      <c r="I28" s="7" t="n"/>
      <c r="J28" s="7" t="n"/>
      <c r="K28" s="7" t="n"/>
    </row>
    <row r="29">
      <c r="A29" s="18" t="n"/>
      <c r="B29" s="7" t="n"/>
      <c r="C29" s="7" t="n"/>
      <c r="D29" s="12">
        <f>IFERROR(INDEX(Produkte!$B$2:$B$301,MATCH(C29,Produkte!$A$2:$A$301,0)),"")</f>
        <v/>
      </c>
      <c r="E29" s="7" t="n"/>
      <c r="F29" s="7" t="n"/>
      <c r="G29" s="12">
        <f>IF(OR(E29="",F29=""),"",E29*F29/1000)</f>
        <v/>
      </c>
      <c r="H29" s="7" t="n"/>
      <c r="I29" s="7" t="n"/>
      <c r="J29" s="7" t="n"/>
      <c r="K29" s="7" t="n"/>
    </row>
    <row r="30">
      <c r="A30" s="18" t="n"/>
      <c r="B30" s="7" t="n"/>
      <c r="C30" s="7" t="n"/>
      <c r="D30" s="12">
        <f>IFERROR(INDEX(Produkte!$B$2:$B$301,MATCH(C30,Produkte!$A$2:$A$301,0)),"")</f>
        <v/>
      </c>
      <c r="E30" s="7" t="n"/>
      <c r="F30" s="7" t="n"/>
      <c r="G30" s="12">
        <f>IF(OR(E30="",F30=""),"",E30*F30/1000)</f>
        <v/>
      </c>
      <c r="H30" s="7" t="n"/>
      <c r="I30" s="7" t="n"/>
      <c r="J30" s="7" t="n"/>
      <c r="K30" s="7" t="n"/>
    </row>
    <row r="31">
      <c r="A31" s="18" t="n"/>
      <c r="B31" s="7" t="n"/>
      <c r="C31" s="7" t="n"/>
      <c r="D31" s="12">
        <f>IFERROR(INDEX(Produkte!$B$2:$B$301,MATCH(C31,Produkte!$A$2:$A$301,0)),"")</f>
        <v/>
      </c>
      <c r="E31" s="7" t="n"/>
      <c r="F31" s="7" t="n"/>
      <c r="G31" s="12">
        <f>IF(OR(E31="",F31=""),"",E31*F31/1000)</f>
        <v/>
      </c>
      <c r="H31" s="7" t="n"/>
      <c r="I31" s="7" t="n"/>
      <c r="J31" s="7" t="n"/>
      <c r="K31" s="7" t="n"/>
    </row>
    <row r="32">
      <c r="A32" s="18" t="n"/>
      <c r="B32" s="7" t="n"/>
      <c r="C32" s="7" t="n"/>
      <c r="D32" s="12">
        <f>IFERROR(INDEX(Produkte!$B$2:$B$301,MATCH(C32,Produkte!$A$2:$A$301,0)),"")</f>
        <v/>
      </c>
      <c r="E32" s="7" t="n"/>
      <c r="F32" s="7" t="n"/>
      <c r="G32" s="12">
        <f>IF(OR(E32="",F32=""),"",E32*F32/1000)</f>
        <v/>
      </c>
      <c r="H32" s="7" t="n"/>
      <c r="I32" s="7" t="n"/>
      <c r="J32" s="7" t="n"/>
      <c r="K32" s="7" t="n"/>
    </row>
    <row r="33">
      <c r="A33" s="18" t="n"/>
      <c r="B33" s="7" t="n"/>
      <c r="C33" s="7" t="n"/>
      <c r="D33" s="12">
        <f>IFERROR(INDEX(Produkte!$B$2:$B$301,MATCH(C33,Produkte!$A$2:$A$301,0)),"")</f>
        <v/>
      </c>
      <c r="E33" s="7" t="n"/>
      <c r="F33" s="7" t="n"/>
      <c r="G33" s="12">
        <f>IF(OR(E33="",F33=""),"",E33*F33/1000)</f>
        <v/>
      </c>
      <c r="H33" s="7" t="n"/>
      <c r="I33" s="7" t="n"/>
      <c r="J33" s="7" t="n"/>
      <c r="K33" s="7" t="n"/>
    </row>
    <row r="34">
      <c r="A34" s="18" t="n"/>
      <c r="B34" s="7" t="n"/>
      <c r="C34" s="7" t="n"/>
      <c r="D34" s="12">
        <f>IFERROR(INDEX(Produkte!$B$2:$B$301,MATCH(C34,Produkte!$A$2:$A$301,0)),"")</f>
        <v/>
      </c>
      <c r="E34" s="7" t="n"/>
      <c r="F34" s="7" t="n"/>
      <c r="G34" s="12">
        <f>IF(OR(E34="",F34=""),"",E34*F34/1000)</f>
        <v/>
      </c>
      <c r="H34" s="7" t="n"/>
      <c r="I34" s="7" t="n"/>
      <c r="J34" s="7" t="n"/>
      <c r="K34" s="7" t="n"/>
    </row>
    <row r="35">
      <c r="A35" s="18" t="n"/>
      <c r="B35" s="7" t="n"/>
      <c r="C35" s="7" t="n"/>
      <c r="D35" s="12">
        <f>IFERROR(INDEX(Produkte!$B$2:$B$301,MATCH(C35,Produkte!$A$2:$A$301,0)),"")</f>
        <v/>
      </c>
      <c r="E35" s="7" t="n"/>
      <c r="F35" s="7" t="n"/>
      <c r="G35" s="12">
        <f>IF(OR(E35="",F35=""),"",E35*F35/1000)</f>
        <v/>
      </c>
      <c r="H35" s="7" t="n"/>
      <c r="I35" s="7" t="n"/>
      <c r="J35" s="7" t="n"/>
      <c r="K35" s="7" t="n"/>
    </row>
    <row r="36">
      <c r="A36" s="18" t="n"/>
      <c r="B36" s="7" t="n"/>
      <c r="C36" s="7" t="n"/>
      <c r="D36" s="12">
        <f>IFERROR(INDEX(Produkte!$B$2:$B$301,MATCH(C36,Produkte!$A$2:$A$301,0)),"")</f>
        <v/>
      </c>
      <c r="E36" s="7" t="n"/>
      <c r="F36" s="7" t="n"/>
      <c r="G36" s="12">
        <f>IF(OR(E36="",F36=""),"",E36*F36/1000)</f>
        <v/>
      </c>
      <c r="H36" s="7" t="n"/>
      <c r="I36" s="7" t="n"/>
      <c r="J36" s="7" t="n"/>
      <c r="K36" s="7" t="n"/>
    </row>
    <row r="37">
      <c r="A37" s="18" t="n"/>
      <c r="B37" s="7" t="n"/>
      <c r="C37" s="7" t="n"/>
      <c r="D37" s="12">
        <f>IFERROR(INDEX(Produkte!$B$2:$B$301,MATCH(C37,Produkte!$A$2:$A$301,0)),"")</f>
        <v/>
      </c>
      <c r="E37" s="7" t="n"/>
      <c r="F37" s="7" t="n"/>
      <c r="G37" s="12">
        <f>IF(OR(E37="",F37=""),"",E37*F37/1000)</f>
        <v/>
      </c>
      <c r="H37" s="7" t="n"/>
      <c r="I37" s="7" t="n"/>
      <c r="J37" s="7" t="n"/>
      <c r="K37" s="7" t="n"/>
    </row>
    <row r="38">
      <c r="A38" s="18" t="n"/>
      <c r="B38" s="7" t="n"/>
      <c r="C38" s="7" t="n"/>
      <c r="D38" s="12">
        <f>IFERROR(INDEX(Produkte!$B$2:$B$301,MATCH(C38,Produkte!$A$2:$A$301,0)),"")</f>
        <v/>
      </c>
      <c r="E38" s="7" t="n"/>
      <c r="F38" s="7" t="n"/>
      <c r="G38" s="12">
        <f>IF(OR(E38="",F38=""),"",E38*F38/1000)</f>
        <v/>
      </c>
      <c r="H38" s="7" t="n"/>
      <c r="I38" s="7" t="n"/>
      <c r="J38" s="7" t="n"/>
      <c r="K38" s="7" t="n"/>
    </row>
    <row r="39">
      <c r="A39" s="18" t="n"/>
      <c r="B39" s="7" t="n"/>
      <c r="C39" s="7" t="n"/>
      <c r="D39" s="12">
        <f>IFERROR(INDEX(Produkte!$B$2:$B$301,MATCH(C39,Produkte!$A$2:$A$301,0)),"")</f>
        <v/>
      </c>
      <c r="E39" s="7" t="n"/>
      <c r="F39" s="7" t="n"/>
      <c r="G39" s="12">
        <f>IF(OR(E39="",F39=""),"",E39*F39/1000)</f>
        <v/>
      </c>
      <c r="H39" s="7" t="n"/>
      <c r="I39" s="7" t="n"/>
      <c r="J39" s="7" t="n"/>
      <c r="K39" s="7" t="n"/>
    </row>
    <row r="40">
      <c r="A40" s="18" t="n"/>
      <c r="B40" s="7" t="n"/>
      <c r="C40" s="7" t="n"/>
      <c r="D40" s="12">
        <f>IFERROR(INDEX(Produkte!$B$2:$B$301,MATCH(C40,Produkte!$A$2:$A$301,0)),"")</f>
        <v/>
      </c>
      <c r="E40" s="7" t="n"/>
      <c r="F40" s="7" t="n"/>
      <c r="G40" s="12">
        <f>IF(OR(E40="",F40=""),"",E40*F40/1000)</f>
        <v/>
      </c>
      <c r="H40" s="7" t="n"/>
      <c r="I40" s="7" t="n"/>
      <c r="J40" s="7" t="n"/>
      <c r="K40" s="7" t="n"/>
    </row>
    <row r="41">
      <c r="A41" s="18" t="n"/>
      <c r="B41" s="7" t="n"/>
      <c r="C41" s="7" t="n"/>
      <c r="D41" s="12">
        <f>IFERROR(INDEX(Produkte!$B$2:$B$301,MATCH(C41,Produkte!$A$2:$A$301,0)),"")</f>
        <v/>
      </c>
      <c r="E41" s="7" t="n"/>
      <c r="F41" s="7" t="n"/>
      <c r="G41" s="12">
        <f>IF(OR(E41="",F41=""),"",E41*F41/1000)</f>
        <v/>
      </c>
      <c r="H41" s="7" t="n"/>
      <c r="I41" s="7" t="n"/>
      <c r="J41" s="7" t="n"/>
      <c r="K41" s="7" t="n"/>
    </row>
    <row r="42">
      <c r="A42" s="18" t="n"/>
      <c r="B42" s="7" t="n"/>
      <c r="C42" s="7" t="n"/>
      <c r="D42" s="12">
        <f>IFERROR(INDEX(Produkte!$B$2:$B$301,MATCH(C42,Produkte!$A$2:$A$301,0)),"")</f>
        <v/>
      </c>
      <c r="E42" s="7" t="n"/>
      <c r="F42" s="7" t="n"/>
      <c r="G42" s="12">
        <f>IF(OR(E42="",F42=""),"",E42*F42/1000)</f>
        <v/>
      </c>
      <c r="H42" s="7" t="n"/>
      <c r="I42" s="7" t="n"/>
      <c r="J42" s="7" t="n"/>
      <c r="K42" s="7" t="n"/>
    </row>
    <row r="43">
      <c r="A43" s="18" t="n"/>
      <c r="B43" s="7" t="n"/>
      <c r="C43" s="7" t="n"/>
      <c r="D43" s="12">
        <f>IFERROR(INDEX(Produkte!$B$2:$B$301,MATCH(C43,Produkte!$A$2:$A$301,0)),"")</f>
        <v/>
      </c>
      <c r="E43" s="7" t="n"/>
      <c r="F43" s="7" t="n"/>
      <c r="G43" s="12">
        <f>IF(OR(E43="",F43=""),"",E43*F43/1000)</f>
        <v/>
      </c>
      <c r="H43" s="7" t="n"/>
      <c r="I43" s="7" t="n"/>
      <c r="J43" s="7" t="n"/>
      <c r="K43" s="7" t="n"/>
    </row>
    <row r="44">
      <c r="A44" s="18" t="n"/>
      <c r="B44" s="7" t="n"/>
      <c r="C44" s="7" t="n"/>
      <c r="D44" s="12">
        <f>IFERROR(INDEX(Produkte!$B$2:$B$301,MATCH(C44,Produkte!$A$2:$A$301,0)),"")</f>
        <v/>
      </c>
      <c r="E44" s="7" t="n"/>
      <c r="F44" s="7" t="n"/>
      <c r="G44" s="12">
        <f>IF(OR(E44="",F44=""),"",E44*F44/1000)</f>
        <v/>
      </c>
      <c r="H44" s="7" t="n"/>
      <c r="I44" s="7" t="n"/>
      <c r="J44" s="7" t="n"/>
      <c r="K44" s="7" t="n"/>
    </row>
    <row r="45">
      <c r="A45" s="18" t="n"/>
      <c r="B45" s="7" t="n"/>
      <c r="C45" s="7" t="n"/>
      <c r="D45" s="12">
        <f>IFERROR(INDEX(Produkte!$B$2:$B$301,MATCH(C45,Produkte!$A$2:$A$301,0)),"")</f>
        <v/>
      </c>
      <c r="E45" s="7" t="n"/>
      <c r="F45" s="7" t="n"/>
      <c r="G45" s="12">
        <f>IF(OR(E45="",F45=""),"",E45*F45/1000)</f>
        <v/>
      </c>
      <c r="H45" s="7" t="n"/>
      <c r="I45" s="7" t="n"/>
      <c r="J45" s="7" t="n"/>
      <c r="K45" s="7" t="n"/>
    </row>
    <row r="46">
      <c r="A46" s="18" t="n"/>
      <c r="B46" s="7" t="n"/>
      <c r="C46" s="7" t="n"/>
      <c r="D46" s="12">
        <f>IFERROR(INDEX(Produkte!$B$2:$B$301,MATCH(C46,Produkte!$A$2:$A$301,0)),"")</f>
        <v/>
      </c>
      <c r="E46" s="7" t="n"/>
      <c r="F46" s="7" t="n"/>
      <c r="G46" s="12">
        <f>IF(OR(E46="",F46=""),"",E46*F46/1000)</f>
        <v/>
      </c>
      <c r="H46" s="7" t="n"/>
      <c r="I46" s="7" t="n"/>
      <c r="J46" s="7" t="n"/>
      <c r="K46" s="7" t="n"/>
    </row>
    <row r="47">
      <c r="A47" s="18" t="n"/>
      <c r="B47" s="7" t="n"/>
      <c r="C47" s="7" t="n"/>
      <c r="D47" s="12">
        <f>IFERROR(INDEX(Produkte!$B$2:$B$301,MATCH(C47,Produkte!$A$2:$A$301,0)),"")</f>
        <v/>
      </c>
      <c r="E47" s="7" t="n"/>
      <c r="F47" s="7" t="n"/>
      <c r="G47" s="12">
        <f>IF(OR(E47="",F47=""),"",E47*F47/1000)</f>
        <v/>
      </c>
      <c r="H47" s="7" t="n"/>
      <c r="I47" s="7" t="n"/>
      <c r="J47" s="7" t="n"/>
      <c r="K47" s="7" t="n"/>
    </row>
    <row r="48">
      <c r="A48" s="18" t="n"/>
      <c r="B48" s="7" t="n"/>
      <c r="C48" s="7" t="n"/>
      <c r="D48" s="12">
        <f>IFERROR(INDEX(Produkte!$B$2:$B$301,MATCH(C48,Produkte!$A$2:$A$301,0)),"")</f>
        <v/>
      </c>
      <c r="E48" s="7" t="n"/>
      <c r="F48" s="7" t="n"/>
      <c r="G48" s="12">
        <f>IF(OR(E48="",F48=""),"",E48*F48/1000)</f>
        <v/>
      </c>
      <c r="H48" s="7" t="n"/>
      <c r="I48" s="7" t="n"/>
      <c r="J48" s="7" t="n"/>
      <c r="K48" s="7" t="n"/>
    </row>
    <row r="49">
      <c r="A49" s="18" t="n"/>
      <c r="B49" s="7" t="n"/>
      <c r="C49" s="7" t="n"/>
      <c r="D49" s="12">
        <f>IFERROR(INDEX(Produkte!$B$2:$B$301,MATCH(C49,Produkte!$A$2:$A$301,0)),"")</f>
        <v/>
      </c>
      <c r="E49" s="7" t="n"/>
      <c r="F49" s="7" t="n"/>
      <c r="G49" s="12">
        <f>IF(OR(E49="",F49=""),"",E49*F49/1000)</f>
        <v/>
      </c>
      <c r="H49" s="7" t="n"/>
      <c r="I49" s="7" t="n"/>
      <c r="J49" s="7" t="n"/>
      <c r="K49" s="7" t="n"/>
    </row>
    <row r="50">
      <c r="A50" s="18" t="n"/>
      <c r="B50" s="7" t="n"/>
      <c r="C50" s="7" t="n"/>
      <c r="D50" s="12">
        <f>IFERROR(INDEX(Produkte!$B$2:$B$301,MATCH(C50,Produkte!$A$2:$A$301,0)),"")</f>
        <v/>
      </c>
      <c r="E50" s="7" t="n"/>
      <c r="F50" s="7" t="n"/>
      <c r="G50" s="12">
        <f>IF(OR(E50="",F50=""),"",E50*F50/1000)</f>
        <v/>
      </c>
      <c r="H50" s="7" t="n"/>
      <c r="I50" s="7" t="n"/>
      <c r="J50" s="7" t="n"/>
      <c r="K50" s="7" t="n"/>
    </row>
    <row r="51">
      <c r="A51" s="18" t="n"/>
      <c r="B51" s="7" t="n"/>
      <c r="C51" s="7" t="n"/>
      <c r="D51" s="12">
        <f>IFERROR(INDEX(Produkte!$B$2:$B$301,MATCH(C51,Produkte!$A$2:$A$301,0)),"")</f>
        <v/>
      </c>
      <c r="E51" s="7" t="n"/>
      <c r="F51" s="7" t="n"/>
      <c r="G51" s="12">
        <f>IF(OR(E51="",F51=""),"",E51*F51/1000)</f>
        <v/>
      </c>
      <c r="H51" s="7" t="n"/>
      <c r="I51" s="7" t="n"/>
      <c r="J51" s="7" t="n"/>
      <c r="K51" s="7" t="n"/>
    </row>
    <row r="52">
      <c r="A52" s="18" t="n"/>
      <c r="B52" s="7" t="n"/>
      <c r="C52" s="7" t="n"/>
      <c r="D52" s="12">
        <f>IFERROR(INDEX(Produkte!$B$2:$B$301,MATCH(C52,Produkte!$A$2:$A$301,0)),"")</f>
        <v/>
      </c>
      <c r="E52" s="7" t="n"/>
      <c r="F52" s="7" t="n"/>
      <c r="G52" s="12">
        <f>IF(OR(E52="",F52=""),"",E52*F52/1000)</f>
        <v/>
      </c>
      <c r="H52" s="7" t="n"/>
      <c r="I52" s="7" t="n"/>
      <c r="J52" s="7" t="n"/>
      <c r="K52" s="7" t="n"/>
    </row>
    <row r="53">
      <c r="A53" s="18" t="n"/>
      <c r="B53" s="7" t="n"/>
      <c r="C53" s="7" t="n"/>
      <c r="D53" s="12">
        <f>IFERROR(INDEX(Produkte!$B$2:$B$301,MATCH(C53,Produkte!$A$2:$A$301,0)),"")</f>
        <v/>
      </c>
      <c r="E53" s="7" t="n"/>
      <c r="F53" s="7" t="n"/>
      <c r="G53" s="12">
        <f>IF(OR(E53="",F53=""),"",E53*F53/1000)</f>
        <v/>
      </c>
      <c r="H53" s="7" t="n"/>
      <c r="I53" s="7" t="n"/>
      <c r="J53" s="7" t="n"/>
      <c r="K53" s="7" t="n"/>
    </row>
    <row r="54">
      <c r="A54" s="18" t="n"/>
      <c r="B54" s="7" t="n"/>
      <c r="C54" s="7" t="n"/>
      <c r="D54" s="12">
        <f>IFERROR(INDEX(Produkte!$B$2:$B$301,MATCH(C54,Produkte!$A$2:$A$301,0)),"")</f>
        <v/>
      </c>
      <c r="E54" s="7" t="n"/>
      <c r="F54" s="7" t="n"/>
      <c r="G54" s="12">
        <f>IF(OR(E54="",F54=""),"",E54*F54/1000)</f>
        <v/>
      </c>
      <c r="H54" s="7" t="n"/>
      <c r="I54" s="7" t="n"/>
      <c r="J54" s="7" t="n"/>
      <c r="K54" s="7" t="n"/>
    </row>
    <row r="55">
      <c r="A55" s="18" t="n"/>
      <c r="B55" s="7" t="n"/>
      <c r="C55" s="7" t="n"/>
      <c r="D55" s="12">
        <f>IFERROR(INDEX(Produkte!$B$2:$B$301,MATCH(C55,Produkte!$A$2:$A$301,0)),"")</f>
        <v/>
      </c>
      <c r="E55" s="7" t="n"/>
      <c r="F55" s="7" t="n"/>
      <c r="G55" s="12">
        <f>IF(OR(E55="",F55=""),"",E55*F55/1000)</f>
        <v/>
      </c>
      <c r="H55" s="7" t="n"/>
      <c r="I55" s="7" t="n"/>
      <c r="J55" s="7" t="n"/>
      <c r="K55" s="7" t="n"/>
    </row>
    <row r="56">
      <c r="A56" s="18" t="n"/>
      <c r="B56" s="7" t="n"/>
      <c r="C56" s="7" t="n"/>
      <c r="D56" s="12">
        <f>IFERROR(INDEX(Produkte!$B$2:$B$301,MATCH(C56,Produkte!$A$2:$A$301,0)),"")</f>
        <v/>
      </c>
      <c r="E56" s="7" t="n"/>
      <c r="F56" s="7" t="n"/>
      <c r="G56" s="12">
        <f>IF(OR(E56="",F56=""),"",E56*F56/1000)</f>
        <v/>
      </c>
      <c r="H56" s="7" t="n"/>
      <c r="I56" s="7" t="n"/>
      <c r="J56" s="7" t="n"/>
      <c r="K56" s="7" t="n"/>
    </row>
    <row r="57">
      <c r="A57" s="18" t="n"/>
      <c r="B57" s="7" t="n"/>
      <c r="C57" s="7" t="n"/>
      <c r="D57" s="12">
        <f>IFERROR(INDEX(Produkte!$B$2:$B$301,MATCH(C57,Produkte!$A$2:$A$301,0)),"")</f>
        <v/>
      </c>
      <c r="E57" s="7" t="n"/>
      <c r="F57" s="7" t="n"/>
      <c r="G57" s="12">
        <f>IF(OR(E57="",F57=""),"",E57*F57/1000)</f>
        <v/>
      </c>
      <c r="H57" s="7" t="n"/>
      <c r="I57" s="7" t="n"/>
      <c r="J57" s="7" t="n"/>
      <c r="K57" s="7" t="n"/>
    </row>
    <row r="58">
      <c r="A58" s="18" t="n"/>
      <c r="B58" s="7" t="n"/>
      <c r="C58" s="7" t="n"/>
      <c r="D58" s="12">
        <f>IFERROR(INDEX(Produkte!$B$2:$B$301,MATCH(C58,Produkte!$A$2:$A$301,0)),"")</f>
        <v/>
      </c>
      <c r="E58" s="7" t="n"/>
      <c r="F58" s="7" t="n"/>
      <c r="G58" s="12">
        <f>IF(OR(E58="",F58=""),"",E58*F58/1000)</f>
        <v/>
      </c>
      <c r="H58" s="7" t="n"/>
      <c r="I58" s="7" t="n"/>
      <c r="J58" s="7" t="n"/>
      <c r="K58" s="7" t="n"/>
    </row>
    <row r="59">
      <c r="A59" s="18" t="n"/>
      <c r="B59" s="7" t="n"/>
      <c r="C59" s="7" t="n"/>
      <c r="D59" s="12">
        <f>IFERROR(INDEX(Produkte!$B$2:$B$301,MATCH(C59,Produkte!$A$2:$A$301,0)),"")</f>
        <v/>
      </c>
      <c r="E59" s="7" t="n"/>
      <c r="F59" s="7" t="n"/>
      <c r="G59" s="12">
        <f>IF(OR(E59="",F59=""),"",E59*F59/1000)</f>
        <v/>
      </c>
      <c r="H59" s="7" t="n"/>
      <c r="I59" s="7" t="n"/>
      <c r="J59" s="7" t="n"/>
      <c r="K59" s="7" t="n"/>
    </row>
    <row r="60">
      <c r="A60" s="18" t="n"/>
      <c r="B60" s="7" t="n"/>
      <c r="C60" s="7" t="n"/>
      <c r="D60" s="12">
        <f>IFERROR(INDEX(Produkte!$B$2:$B$301,MATCH(C60,Produkte!$A$2:$A$301,0)),"")</f>
        <v/>
      </c>
      <c r="E60" s="7" t="n"/>
      <c r="F60" s="7" t="n"/>
      <c r="G60" s="12">
        <f>IF(OR(E60="",F60=""),"",E60*F60/1000)</f>
        <v/>
      </c>
      <c r="H60" s="7" t="n"/>
      <c r="I60" s="7" t="n"/>
      <c r="J60" s="7" t="n"/>
      <c r="K60" s="7" t="n"/>
    </row>
    <row r="61">
      <c r="A61" s="18" t="n"/>
      <c r="B61" s="7" t="n"/>
      <c r="C61" s="7" t="n"/>
      <c r="D61" s="12">
        <f>IFERROR(INDEX(Produkte!$B$2:$B$301,MATCH(C61,Produkte!$A$2:$A$301,0)),"")</f>
        <v/>
      </c>
      <c r="E61" s="7" t="n"/>
      <c r="F61" s="7" t="n"/>
      <c r="G61" s="12">
        <f>IF(OR(E61="",F61=""),"",E61*F61/1000)</f>
        <v/>
      </c>
      <c r="H61" s="7" t="n"/>
      <c r="I61" s="7" t="n"/>
      <c r="J61" s="7" t="n"/>
      <c r="K61" s="7" t="n"/>
    </row>
    <row r="62">
      <c r="A62" s="18" t="n"/>
      <c r="B62" s="7" t="n"/>
      <c r="C62" s="7" t="n"/>
      <c r="D62" s="12">
        <f>IFERROR(INDEX(Produkte!$B$2:$B$301,MATCH(C62,Produkte!$A$2:$A$301,0)),"")</f>
        <v/>
      </c>
      <c r="E62" s="7" t="n"/>
      <c r="F62" s="7" t="n"/>
      <c r="G62" s="12">
        <f>IF(OR(E62="",F62=""),"",E62*F62/1000)</f>
        <v/>
      </c>
      <c r="H62" s="7" t="n"/>
      <c r="I62" s="7" t="n"/>
      <c r="J62" s="7" t="n"/>
      <c r="K62" s="7" t="n"/>
    </row>
    <row r="63">
      <c r="A63" s="18" t="n"/>
      <c r="B63" s="7" t="n"/>
      <c r="C63" s="7" t="n"/>
      <c r="D63" s="12">
        <f>IFERROR(INDEX(Produkte!$B$2:$B$301,MATCH(C63,Produkte!$A$2:$A$301,0)),"")</f>
        <v/>
      </c>
      <c r="E63" s="7" t="n"/>
      <c r="F63" s="7" t="n"/>
      <c r="G63" s="12">
        <f>IF(OR(E63="",F63=""),"",E63*F63/1000)</f>
        <v/>
      </c>
      <c r="H63" s="7" t="n"/>
      <c r="I63" s="7" t="n"/>
      <c r="J63" s="7" t="n"/>
      <c r="K63" s="7" t="n"/>
    </row>
    <row r="64">
      <c r="A64" s="18" t="n"/>
      <c r="B64" s="7" t="n"/>
      <c r="C64" s="7" t="n"/>
      <c r="D64" s="12">
        <f>IFERROR(INDEX(Produkte!$B$2:$B$301,MATCH(C64,Produkte!$A$2:$A$301,0)),"")</f>
        <v/>
      </c>
      <c r="E64" s="7" t="n"/>
      <c r="F64" s="7" t="n"/>
      <c r="G64" s="12">
        <f>IF(OR(E64="",F64=""),"",E64*F64/1000)</f>
        <v/>
      </c>
      <c r="H64" s="7" t="n"/>
      <c r="I64" s="7" t="n"/>
      <c r="J64" s="7" t="n"/>
      <c r="K64" s="7" t="n"/>
    </row>
    <row r="65">
      <c r="A65" s="18" t="n"/>
      <c r="B65" s="7" t="n"/>
      <c r="C65" s="7" t="n"/>
      <c r="D65" s="12">
        <f>IFERROR(INDEX(Produkte!$B$2:$B$301,MATCH(C65,Produkte!$A$2:$A$301,0)),"")</f>
        <v/>
      </c>
      <c r="E65" s="7" t="n"/>
      <c r="F65" s="7" t="n"/>
      <c r="G65" s="12">
        <f>IF(OR(E65="",F65=""),"",E65*F65/1000)</f>
        <v/>
      </c>
      <c r="H65" s="7" t="n"/>
      <c r="I65" s="7" t="n"/>
      <c r="J65" s="7" t="n"/>
      <c r="K65" s="7" t="n"/>
    </row>
    <row r="66">
      <c r="A66" s="18" t="n"/>
      <c r="B66" s="7" t="n"/>
      <c r="C66" s="7" t="n"/>
      <c r="D66" s="12">
        <f>IFERROR(INDEX(Produkte!$B$2:$B$301,MATCH(C66,Produkte!$A$2:$A$301,0)),"")</f>
        <v/>
      </c>
      <c r="E66" s="7" t="n"/>
      <c r="F66" s="7" t="n"/>
      <c r="G66" s="12">
        <f>IF(OR(E66="",F66=""),"",E66*F66/1000)</f>
        <v/>
      </c>
      <c r="H66" s="7" t="n"/>
      <c r="I66" s="7" t="n"/>
      <c r="J66" s="7" t="n"/>
      <c r="K66" s="7" t="n"/>
    </row>
    <row r="67">
      <c r="A67" s="18" t="n"/>
      <c r="B67" s="7" t="n"/>
      <c r="C67" s="7" t="n"/>
      <c r="D67" s="12">
        <f>IFERROR(INDEX(Produkte!$B$2:$B$301,MATCH(C67,Produkte!$A$2:$A$301,0)),"")</f>
        <v/>
      </c>
      <c r="E67" s="7" t="n"/>
      <c r="F67" s="7" t="n"/>
      <c r="G67" s="12">
        <f>IF(OR(E67="",F67=""),"",E67*F67/1000)</f>
        <v/>
      </c>
      <c r="H67" s="7" t="n"/>
      <c r="I67" s="7" t="n"/>
      <c r="J67" s="7" t="n"/>
      <c r="K67" s="7" t="n"/>
    </row>
    <row r="68">
      <c r="A68" s="18" t="n"/>
      <c r="B68" s="7" t="n"/>
      <c r="C68" s="7" t="n"/>
      <c r="D68" s="12">
        <f>IFERROR(INDEX(Produkte!$B$2:$B$301,MATCH(C68,Produkte!$A$2:$A$301,0)),"")</f>
        <v/>
      </c>
      <c r="E68" s="7" t="n"/>
      <c r="F68" s="7" t="n"/>
      <c r="G68" s="12">
        <f>IF(OR(E68="",F68=""),"",E68*F68/1000)</f>
        <v/>
      </c>
      <c r="H68" s="7" t="n"/>
      <c r="I68" s="7" t="n"/>
      <c r="J68" s="7" t="n"/>
      <c r="K68" s="7" t="n"/>
    </row>
    <row r="69">
      <c r="A69" s="18" t="n"/>
      <c r="B69" s="7" t="n"/>
      <c r="C69" s="7" t="n"/>
      <c r="D69" s="12">
        <f>IFERROR(INDEX(Produkte!$B$2:$B$301,MATCH(C69,Produkte!$A$2:$A$301,0)),"")</f>
        <v/>
      </c>
      <c r="E69" s="7" t="n"/>
      <c r="F69" s="7" t="n"/>
      <c r="G69" s="12">
        <f>IF(OR(E69="",F69=""),"",E69*F69/1000)</f>
        <v/>
      </c>
      <c r="H69" s="7" t="n"/>
      <c r="I69" s="7" t="n"/>
      <c r="J69" s="7" t="n"/>
      <c r="K69" s="7" t="n"/>
    </row>
    <row r="70">
      <c r="A70" s="18" t="n"/>
      <c r="B70" s="7" t="n"/>
      <c r="C70" s="7" t="n"/>
      <c r="D70" s="12">
        <f>IFERROR(INDEX(Produkte!$B$2:$B$301,MATCH(C70,Produkte!$A$2:$A$301,0)),"")</f>
        <v/>
      </c>
      <c r="E70" s="7" t="n"/>
      <c r="F70" s="7" t="n"/>
      <c r="G70" s="12">
        <f>IF(OR(E70="",F70=""),"",E70*F70/1000)</f>
        <v/>
      </c>
      <c r="H70" s="7" t="n"/>
      <c r="I70" s="7" t="n"/>
      <c r="J70" s="7" t="n"/>
      <c r="K70" s="7" t="n"/>
    </row>
    <row r="71">
      <c r="A71" s="18" t="n"/>
      <c r="B71" s="7" t="n"/>
      <c r="C71" s="7" t="n"/>
      <c r="D71" s="12">
        <f>IFERROR(INDEX(Produkte!$B$2:$B$301,MATCH(C71,Produkte!$A$2:$A$301,0)),"")</f>
        <v/>
      </c>
      <c r="E71" s="7" t="n"/>
      <c r="F71" s="7" t="n"/>
      <c r="G71" s="12">
        <f>IF(OR(E71="",F71=""),"",E71*F71/1000)</f>
        <v/>
      </c>
      <c r="H71" s="7" t="n"/>
      <c r="I71" s="7" t="n"/>
      <c r="J71" s="7" t="n"/>
      <c r="K71" s="7" t="n"/>
    </row>
    <row r="72">
      <c r="A72" s="18" t="n"/>
      <c r="B72" s="7" t="n"/>
      <c r="C72" s="7" t="n"/>
      <c r="D72" s="12">
        <f>IFERROR(INDEX(Produkte!$B$2:$B$301,MATCH(C72,Produkte!$A$2:$A$301,0)),"")</f>
        <v/>
      </c>
      <c r="E72" s="7" t="n"/>
      <c r="F72" s="7" t="n"/>
      <c r="G72" s="12">
        <f>IF(OR(E72="",F72=""),"",E72*F72/1000)</f>
        <v/>
      </c>
      <c r="H72" s="7" t="n"/>
      <c r="I72" s="7" t="n"/>
      <c r="J72" s="7" t="n"/>
      <c r="K72" s="7" t="n"/>
    </row>
    <row r="73">
      <c r="A73" s="18" t="n"/>
      <c r="B73" s="7" t="n"/>
      <c r="C73" s="7" t="n"/>
      <c r="D73" s="12">
        <f>IFERROR(INDEX(Produkte!$B$2:$B$301,MATCH(C73,Produkte!$A$2:$A$301,0)),"")</f>
        <v/>
      </c>
      <c r="E73" s="7" t="n"/>
      <c r="F73" s="7" t="n"/>
      <c r="G73" s="12">
        <f>IF(OR(E73="",F73=""),"",E73*F73/1000)</f>
        <v/>
      </c>
      <c r="H73" s="7" t="n"/>
      <c r="I73" s="7" t="n"/>
      <c r="J73" s="7" t="n"/>
      <c r="K73" s="7" t="n"/>
    </row>
    <row r="74">
      <c r="A74" s="18" t="n"/>
      <c r="B74" s="7" t="n"/>
      <c r="C74" s="7" t="n"/>
      <c r="D74" s="12">
        <f>IFERROR(INDEX(Produkte!$B$2:$B$301,MATCH(C74,Produkte!$A$2:$A$301,0)),"")</f>
        <v/>
      </c>
      <c r="E74" s="7" t="n"/>
      <c r="F74" s="7" t="n"/>
      <c r="G74" s="12">
        <f>IF(OR(E74="",F74=""),"",E74*F74/1000)</f>
        <v/>
      </c>
      <c r="H74" s="7" t="n"/>
      <c r="I74" s="7" t="n"/>
      <c r="J74" s="7" t="n"/>
      <c r="K74" s="7" t="n"/>
    </row>
    <row r="75">
      <c r="A75" s="18" t="n"/>
      <c r="B75" s="7" t="n"/>
      <c r="C75" s="7" t="n"/>
      <c r="D75" s="12">
        <f>IFERROR(INDEX(Produkte!$B$2:$B$301,MATCH(C75,Produkte!$A$2:$A$301,0)),"")</f>
        <v/>
      </c>
      <c r="E75" s="7" t="n"/>
      <c r="F75" s="7" t="n"/>
      <c r="G75" s="12">
        <f>IF(OR(E75="",F75=""),"",E75*F75/1000)</f>
        <v/>
      </c>
      <c r="H75" s="7" t="n"/>
      <c r="I75" s="7" t="n"/>
      <c r="J75" s="7" t="n"/>
      <c r="K75" s="7" t="n"/>
    </row>
    <row r="76">
      <c r="A76" s="18" t="n"/>
      <c r="B76" s="7" t="n"/>
      <c r="C76" s="7" t="n"/>
      <c r="D76" s="12">
        <f>IFERROR(INDEX(Produkte!$B$2:$B$301,MATCH(C76,Produkte!$A$2:$A$301,0)),"")</f>
        <v/>
      </c>
      <c r="E76" s="7" t="n"/>
      <c r="F76" s="7" t="n"/>
      <c r="G76" s="12">
        <f>IF(OR(E76="",F76=""),"",E76*F76/1000)</f>
        <v/>
      </c>
      <c r="H76" s="7" t="n"/>
      <c r="I76" s="7" t="n"/>
      <c r="J76" s="7" t="n"/>
      <c r="K76" s="7" t="n"/>
    </row>
    <row r="77">
      <c r="A77" s="18" t="n"/>
      <c r="B77" s="7" t="n"/>
      <c r="C77" s="7" t="n"/>
      <c r="D77" s="12">
        <f>IFERROR(INDEX(Produkte!$B$2:$B$301,MATCH(C77,Produkte!$A$2:$A$301,0)),"")</f>
        <v/>
      </c>
      <c r="E77" s="7" t="n"/>
      <c r="F77" s="7" t="n"/>
      <c r="G77" s="12">
        <f>IF(OR(E77="",F77=""),"",E77*F77/1000)</f>
        <v/>
      </c>
      <c r="H77" s="7" t="n"/>
      <c r="I77" s="7" t="n"/>
      <c r="J77" s="7" t="n"/>
      <c r="K77" s="7" t="n"/>
    </row>
    <row r="78">
      <c r="A78" s="18" t="n"/>
      <c r="B78" s="7" t="n"/>
      <c r="C78" s="7" t="n"/>
      <c r="D78" s="12">
        <f>IFERROR(INDEX(Produkte!$B$2:$B$301,MATCH(C78,Produkte!$A$2:$A$301,0)),"")</f>
        <v/>
      </c>
      <c r="E78" s="7" t="n"/>
      <c r="F78" s="7" t="n"/>
      <c r="G78" s="12">
        <f>IF(OR(E78="",F78=""),"",E78*F78/1000)</f>
        <v/>
      </c>
      <c r="H78" s="7" t="n"/>
      <c r="I78" s="7" t="n"/>
      <c r="J78" s="7" t="n"/>
      <c r="K78" s="7" t="n"/>
    </row>
    <row r="79">
      <c r="A79" s="18" t="n"/>
      <c r="B79" s="7" t="n"/>
      <c r="C79" s="7" t="n"/>
      <c r="D79" s="12">
        <f>IFERROR(INDEX(Produkte!$B$2:$B$301,MATCH(C79,Produkte!$A$2:$A$301,0)),"")</f>
        <v/>
      </c>
      <c r="E79" s="7" t="n"/>
      <c r="F79" s="7" t="n"/>
      <c r="G79" s="12">
        <f>IF(OR(E79="",F79=""),"",E79*F79/1000)</f>
        <v/>
      </c>
      <c r="H79" s="7" t="n"/>
      <c r="I79" s="7" t="n"/>
      <c r="J79" s="7" t="n"/>
      <c r="K79" s="7" t="n"/>
    </row>
    <row r="80">
      <c r="A80" s="18" t="n"/>
      <c r="B80" s="7" t="n"/>
      <c r="C80" s="7" t="n"/>
      <c r="D80" s="12">
        <f>IFERROR(INDEX(Produkte!$B$2:$B$301,MATCH(C80,Produkte!$A$2:$A$301,0)),"")</f>
        <v/>
      </c>
      <c r="E80" s="7" t="n"/>
      <c r="F80" s="7" t="n"/>
      <c r="G80" s="12">
        <f>IF(OR(E80="",F80=""),"",E80*F80/1000)</f>
        <v/>
      </c>
      <c r="H80" s="7" t="n"/>
      <c r="I80" s="7" t="n"/>
      <c r="J80" s="7" t="n"/>
      <c r="K80" s="7" t="n"/>
    </row>
    <row r="81">
      <c r="A81" s="18" t="n"/>
      <c r="B81" s="7" t="n"/>
      <c r="C81" s="7" t="n"/>
      <c r="D81" s="12">
        <f>IFERROR(INDEX(Produkte!$B$2:$B$301,MATCH(C81,Produkte!$A$2:$A$301,0)),"")</f>
        <v/>
      </c>
      <c r="E81" s="7" t="n"/>
      <c r="F81" s="7" t="n"/>
      <c r="G81" s="12">
        <f>IF(OR(E81="",F81=""),"",E81*F81/1000)</f>
        <v/>
      </c>
      <c r="H81" s="7" t="n"/>
      <c r="I81" s="7" t="n"/>
      <c r="J81" s="7" t="n"/>
      <c r="K81" s="7" t="n"/>
    </row>
    <row r="82">
      <c r="A82" s="18" t="n"/>
      <c r="B82" s="7" t="n"/>
      <c r="C82" s="7" t="n"/>
      <c r="D82" s="12">
        <f>IFERROR(INDEX(Produkte!$B$2:$B$301,MATCH(C82,Produkte!$A$2:$A$301,0)),"")</f>
        <v/>
      </c>
      <c r="E82" s="7" t="n"/>
      <c r="F82" s="7" t="n"/>
      <c r="G82" s="12">
        <f>IF(OR(E82="",F82=""),"",E82*F82/1000)</f>
        <v/>
      </c>
      <c r="H82" s="7" t="n"/>
      <c r="I82" s="7" t="n"/>
      <c r="J82" s="7" t="n"/>
      <c r="K82" s="7" t="n"/>
    </row>
    <row r="83">
      <c r="A83" s="18" t="n"/>
      <c r="B83" s="7" t="n"/>
      <c r="C83" s="7" t="n"/>
      <c r="D83" s="12">
        <f>IFERROR(INDEX(Produkte!$B$2:$B$301,MATCH(C83,Produkte!$A$2:$A$301,0)),"")</f>
        <v/>
      </c>
      <c r="E83" s="7" t="n"/>
      <c r="F83" s="7" t="n"/>
      <c r="G83" s="12">
        <f>IF(OR(E83="",F83=""),"",E83*F83/1000)</f>
        <v/>
      </c>
      <c r="H83" s="7" t="n"/>
      <c r="I83" s="7" t="n"/>
      <c r="J83" s="7" t="n"/>
      <c r="K83" s="7" t="n"/>
    </row>
    <row r="84">
      <c r="A84" s="18" t="n"/>
      <c r="B84" s="7" t="n"/>
      <c r="C84" s="7" t="n"/>
      <c r="D84" s="12">
        <f>IFERROR(INDEX(Produkte!$B$2:$B$301,MATCH(C84,Produkte!$A$2:$A$301,0)),"")</f>
        <v/>
      </c>
      <c r="E84" s="7" t="n"/>
      <c r="F84" s="7" t="n"/>
      <c r="G84" s="12">
        <f>IF(OR(E84="",F84=""),"",E84*F84/1000)</f>
        <v/>
      </c>
      <c r="H84" s="7" t="n"/>
      <c r="I84" s="7" t="n"/>
      <c r="J84" s="7" t="n"/>
      <c r="K84" s="7" t="n"/>
    </row>
    <row r="85">
      <c r="A85" s="18" t="n"/>
      <c r="B85" s="7" t="n"/>
      <c r="C85" s="7" t="n"/>
      <c r="D85" s="12">
        <f>IFERROR(INDEX(Produkte!$B$2:$B$301,MATCH(C85,Produkte!$A$2:$A$301,0)),"")</f>
        <v/>
      </c>
      <c r="E85" s="7" t="n"/>
      <c r="F85" s="7" t="n"/>
      <c r="G85" s="12">
        <f>IF(OR(E85="",F85=""),"",E85*F85/1000)</f>
        <v/>
      </c>
      <c r="H85" s="7" t="n"/>
      <c r="I85" s="7" t="n"/>
      <c r="J85" s="7" t="n"/>
      <c r="K85" s="7" t="n"/>
    </row>
    <row r="86">
      <c r="A86" s="18" t="n"/>
      <c r="B86" s="7" t="n"/>
      <c r="C86" s="7" t="n"/>
      <c r="D86" s="12">
        <f>IFERROR(INDEX(Produkte!$B$2:$B$301,MATCH(C86,Produkte!$A$2:$A$301,0)),"")</f>
        <v/>
      </c>
      <c r="E86" s="7" t="n"/>
      <c r="F86" s="7" t="n"/>
      <c r="G86" s="12">
        <f>IF(OR(E86="",F86=""),"",E86*F86/1000)</f>
        <v/>
      </c>
      <c r="H86" s="7" t="n"/>
      <c r="I86" s="7" t="n"/>
      <c r="J86" s="7" t="n"/>
      <c r="K86" s="7" t="n"/>
    </row>
    <row r="87">
      <c r="A87" s="18" t="n"/>
      <c r="B87" s="7" t="n"/>
      <c r="C87" s="7" t="n"/>
      <c r="D87" s="12">
        <f>IFERROR(INDEX(Produkte!$B$2:$B$301,MATCH(C87,Produkte!$A$2:$A$301,0)),"")</f>
        <v/>
      </c>
      <c r="E87" s="7" t="n"/>
      <c r="F87" s="7" t="n"/>
      <c r="G87" s="12">
        <f>IF(OR(E87="",F87=""),"",E87*F87/1000)</f>
        <v/>
      </c>
      <c r="H87" s="7" t="n"/>
      <c r="I87" s="7" t="n"/>
      <c r="J87" s="7" t="n"/>
      <c r="K87" s="7" t="n"/>
    </row>
    <row r="88">
      <c r="A88" s="18" t="n"/>
      <c r="B88" s="7" t="n"/>
      <c r="C88" s="7" t="n"/>
      <c r="D88" s="12">
        <f>IFERROR(INDEX(Produkte!$B$2:$B$301,MATCH(C88,Produkte!$A$2:$A$301,0)),"")</f>
        <v/>
      </c>
      <c r="E88" s="7" t="n"/>
      <c r="F88" s="7" t="n"/>
      <c r="G88" s="12">
        <f>IF(OR(E88="",F88=""),"",E88*F88/1000)</f>
        <v/>
      </c>
      <c r="H88" s="7" t="n"/>
      <c r="I88" s="7" t="n"/>
      <c r="J88" s="7" t="n"/>
      <c r="K88" s="7" t="n"/>
    </row>
    <row r="89">
      <c r="A89" s="18" t="n"/>
      <c r="B89" s="7" t="n"/>
      <c r="C89" s="7" t="n"/>
      <c r="D89" s="12">
        <f>IFERROR(INDEX(Produkte!$B$2:$B$301,MATCH(C89,Produkte!$A$2:$A$301,0)),"")</f>
        <v/>
      </c>
      <c r="E89" s="7" t="n"/>
      <c r="F89" s="7" t="n"/>
      <c r="G89" s="12">
        <f>IF(OR(E89="",F89=""),"",E89*F89/1000)</f>
        <v/>
      </c>
      <c r="H89" s="7" t="n"/>
      <c r="I89" s="7" t="n"/>
      <c r="J89" s="7" t="n"/>
      <c r="K89" s="7" t="n"/>
    </row>
    <row r="90">
      <c r="A90" s="18" t="n"/>
      <c r="B90" s="7" t="n"/>
      <c r="C90" s="7" t="n"/>
      <c r="D90" s="12">
        <f>IFERROR(INDEX(Produkte!$B$2:$B$301,MATCH(C90,Produkte!$A$2:$A$301,0)),"")</f>
        <v/>
      </c>
      <c r="E90" s="7" t="n"/>
      <c r="F90" s="7" t="n"/>
      <c r="G90" s="12">
        <f>IF(OR(E90="",F90=""),"",E90*F90/1000)</f>
        <v/>
      </c>
      <c r="H90" s="7" t="n"/>
      <c r="I90" s="7" t="n"/>
      <c r="J90" s="7" t="n"/>
      <c r="K90" s="7" t="n"/>
    </row>
    <row r="91">
      <c r="A91" s="18" t="n"/>
      <c r="B91" s="7" t="n"/>
      <c r="C91" s="7" t="n"/>
      <c r="D91" s="12">
        <f>IFERROR(INDEX(Produkte!$B$2:$B$301,MATCH(C91,Produkte!$A$2:$A$301,0)),"")</f>
        <v/>
      </c>
      <c r="E91" s="7" t="n"/>
      <c r="F91" s="7" t="n"/>
      <c r="G91" s="12">
        <f>IF(OR(E91="",F91=""),"",E91*F91/1000)</f>
        <v/>
      </c>
      <c r="H91" s="7" t="n"/>
      <c r="I91" s="7" t="n"/>
      <c r="J91" s="7" t="n"/>
      <c r="K91" s="7" t="n"/>
    </row>
    <row r="92">
      <c r="A92" s="18" t="n"/>
      <c r="B92" s="7" t="n"/>
      <c r="C92" s="7" t="n"/>
      <c r="D92" s="12">
        <f>IFERROR(INDEX(Produkte!$B$2:$B$301,MATCH(C92,Produkte!$A$2:$A$301,0)),"")</f>
        <v/>
      </c>
      <c r="E92" s="7" t="n"/>
      <c r="F92" s="7" t="n"/>
      <c r="G92" s="12">
        <f>IF(OR(E92="",F92=""),"",E92*F92/1000)</f>
        <v/>
      </c>
      <c r="H92" s="7" t="n"/>
      <c r="I92" s="7" t="n"/>
      <c r="J92" s="7" t="n"/>
      <c r="K92" s="7" t="n"/>
    </row>
    <row r="93">
      <c r="A93" s="18" t="n"/>
      <c r="B93" s="7" t="n"/>
      <c r="C93" s="7" t="n"/>
      <c r="D93" s="12">
        <f>IFERROR(INDEX(Produkte!$B$2:$B$301,MATCH(C93,Produkte!$A$2:$A$301,0)),"")</f>
        <v/>
      </c>
      <c r="E93" s="7" t="n"/>
      <c r="F93" s="7" t="n"/>
      <c r="G93" s="12">
        <f>IF(OR(E93="",F93=""),"",E93*F93/1000)</f>
        <v/>
      </c>
      <c r="H93" s="7" t="n"/>
      <c r="I93" s="7" t="n"/>
      <c r="J93" s="7" t="n"/>
      <c r="K93" s="7" t="n"/>
    </row>
    <row r="94">
      <c r="A94" s="18" t="n"/>
      <c r="B94" s="7" t="n"/>
      <c r="C94" s="7" t="n"/>
      <c r="D94" s="12">
        <f>IFERROR(INDEX(Produkte!$B$2:$B$301,MATCH(C94,Produkte!$A$2:$A$301,0)),"")</f>
        <v/>
      </c>
      <c r="E94" s="7" t="n"/>
      <c r="F94" s="7" t="n"/>
      <c r="G94" s="12">
        <f>IF(OR(E94="",F94=""),"",E94*F94/1000)</f>
        <v/>
      </c>
      <c r="H94" s="7" t="n"/>
      <c r="I94" s="7" t="n"/>
      <c r="J94" s="7" t="n"/>
      <c r="K94" s="7" t="n"/>
    </row>
    <row r="95">
      <c r="A95" s="18" t="n"/>
      <c r="B95" s="7" t="n"/>
      <c r="C95" s="7" t="n"/>
      <c r="D95" s="12">
        <f>IFERROR(INDEX(Produkte!$B$2:$B$301,MATCH(C95,Produkte!$A$2:$A$301,0)),"")</f>
        <v/>
      </c>
      <c r="E95" s="7" t="n"/>
      <c r="F95" s="7" t="n"/>
      <c r="G95" s="12">
        <f>IF(OR(E95="",F95=""),"",E95*F95/1000)</f>
        <v/>
      </c>
      <c r="H95" s="7" t="n"/>
      <c r="I95" s="7" t="n"/>
      <c r="J95" s="7" t="n"/>
      <c r="K95" s="7" t="n"/>
    </row>
    <row r="96">
      <c r="A96" s="18" t="n"/>
      <c r="B96" s="7" t="n"/>
      <c r="C96" s="7" t="n"/>
      <c r="D96" s="12">
        <f>IFERROR(INDEX(Produkte!$B$2:$B$301,MATCH(C96,Produkte!$A$2:$A$301,0)),"")</f>
        <v/>
      </c>
      <c r="E96" s="7" t="n"/>
      <c r="F96" s="7" t="n"/>
      <c r="G96" s="12">
        <f>IF(OR(E96="",F96=""),"",E96*F96/1000)</f>
        <v/>
      </c>
      <c r="H96" s="7" t="n"/>
      <c r="I96" s="7" t="n"/>
      <c r="J96" s="7" t="n"/>
      <c r="K96" s="7" t="n"/>
    </row>
    <row r="97">
      <c r="A97" s="18" t="n"/>
      <c r="B97" s="7" t="n"/>
      <c r="C97" s="7" t="n"/>
      <c r="D97" s="12">
        <f>IFERROR(INDEX(Produkte!$B$2:$B$301,MATCH(C97,Produkte!$A$2:$A$301,0)),"")</f>
        <v/>
      </c>
      <c r="E97" s="7" t="n"/>
      <c r="F97" s="7" t="n"/>
      <c r="G97" s="12">
        <f>IF(OR(E97="",F97=""),"",E97*F97/1000)</f>
        <v/>
      </c>
      <c r="H97" s="7" t="n"/>
      <c r="I97" s="7" t="n"/>
      <c r="J97" s="7" t="n"/>
      <c r="K97" s="7" t="n"/>
    </row>
    <row r="98">
      <c r="A98" s="18" t="n"/>
      <c r="B98" s="7" t="n"/>
      <c r="C98" s="7" t="n"/>
      <c r="D98" s="12">
        <f>IFERROR(INDEX(Produkte!$B$2:$B$301,MATCH(C98,Produkte!$A$2:$A$301,0)),"")</f>
        <v/>
      </c>
      <c r="E98" s="7" t="n"/>
      <c r="F98" s="7" t="n"/>
      <c r="G98" s="12">
        <f>IF(OR(E98="",F98=""),"",E98*F98/1000)</f>
        <v/>
      </c>
      <c r="H98" s="7" t="n"/>
      <c r="I98" s="7" t="n"/>
      <c r="J98" s="7" t="n"/>
      <c r="K98" s="7" t="n"/>
    </row>
    <row r="99">
      <c r="A99" s="18" t="n"/>
      <c r="B99" s="7" t="n"/>
      <c r="C99" s="7" t="n"/>
      <c r="D99" s="12">
        <f>IFERROR(INDEX(Produkte!$B$2:$B$301,MATCH(C99,Produkte!$A$2:$A$301,0)),"")</f>
        <v/>
      </c>
      <c r="E99" s="7" t="n"/>
      <c r="F99" s="7" t="n"/>
      <c r="G99" s="12">
        <f>IF(OR(E99="",F99=""),"",E99*F99/1000)</f>
        <v/>
      </c>
      <c r="H99" s="7" t="n"/>
      <c r="I99" s="7" t="n"/>
      <c r="J99" s="7" t="n"/>
      <c r="K99" s="7" t="n"/>
    </row>
    <row r="100">
      <c r="A100" s="18" t="n"/>
      <c r="B100" s="7" t="n"/>
      <c r="C100" s="7" t="n"/>
      <c r="D100" s="12">
        <f>IFERROR(INDEX(Produkte!$B$2:$B$301,MATCH(C100,Produkte!$A$2:$A$301,0)),"")</f>
        <v/>
      </c>
      <c r="E100" s="7" t="n"/>
      <c r="F100" s="7" t="n"/>
      <c r="G100" s="12">
        <f>IF(OR(E100="",F100=""),"",E100*F100/1000)</f>
        <v/>
      </c>
      <c r="H100" s="7" t="n"/>
      <c r="I100" s="7" t="n"/>
      <c r="J100" s="7" t="n"/>
      <c r="K100" s="7" t="n"/>
    </row>
    <row r="101">
      <c r="A101" s="18" t="n"/>
      <c r="B101" s="7" t="n"/>
      <c r="C101" s="7" t="n"/>
      <c r="D101" s="12">
        <f>IFERROR(INDEX(Produkte!$B$2:$B$301,MATCH(C101,Produkte!$A$2:$A$301,0)),"")</f>
        <v/>
      </c>
      <c r="E101" s="7" t="n"/>
      <c r="F101" s="7" t="n"/>
      <c r="G101" s="12">
        <f>IF(OR(E101="",F101=""),"",E101*F101/1000)</f>
        <v/>
      </c>
      <c r="H101" s="7" t="n"/>
      <c r="I101" s="7" t="n"/>
      <c r="J101" s="7" t="n"/>
      <c r="K101" s="7" t="n"/>
    </row>
    <row r="102">
      <c r="A102" s="18" t="n"/>
      <c r="B102" s="7" t="n"/>
      <c r="C102" s="7" t="n"/>
      <c r="D102" s="12">
        <f>IFERROR(INDEX(Produkte!$B$2:$B$301,MATCH(C102,Produkte!$A$2:$A$301,0)),"")</f>
        <v/>
      </c>
      <c r="E102" s="7" t="n"/>
      <c r="F102" s="7" t="n"/>
      <c r="G102" s="12">
        <f>IF(OR(E102="",F102=""),"",E102*F102/1000)</f>
        <v/>
      </c>
      <c r="H102" s="7" t="n"/>
      <c r="I102" s="7" t="n"/>
      <c r="J102" s="7" t="n"/>
      <c r="K102" s="7" t="n"/>
    </row>
    <row r="103">
      <c r="A103" s="18" t="n"/>
      <c r="B103" s="7" t="n"/>
      <c r="C103" s="7" t="n"/>
      <c r="D103" s="12">
        <f>IFERROR(INDEX(Produkte!$B$2:$B$301,MATCH(C103,Produkte!$A$2:$A$301,0)),"")</f>
        <v/>
      </c>
      <c r="E103" s="7" t="n"/>
      <c r="F103" s="7" t="n"/>
      <c r="G103" s="12">
        <f>IF(OR(E103="",F103=""),"",E103*F103/1000)</f>
        <v/>
      </c>
      <c r="H103" s="7" t="n"/>
      <c r="I103" s="7" t="n"/>
      <c r="J103" s="7" t="n"/>
      <c r="K103" s="7" t="n"/>
    </row>
    <row r="104">
      <c r="A104" s="18" t="n"/>
      <c r="B104" s="7" t="n"/>
      <c r="C104" s="7" t="n"/>
      <c r="D104" s="12">
        <f>IFERROR(INDEX(Produkte!$B$2:$B$301,MATCH(C104,Produkte!$A$2:$A$301,0)),"")</f>
        <v/>
      </c>
      <c r="E104" s="7" t="n"/>
      <c r="F104" s="7" t="n"/>
      <c r="G104" s="12">
        <f>IF(OR(E104="",F104=""),"",E104*F104/1000)</f>
        <v/>
      </c>
      <c r="H104" s="7" t="n"/>
      <c r="I104" s="7" t="n"/>
      <c r="J104" s="7" t="n"/>
      <c r="K104" s="7" t="n"/>
    </row>
    <row r="105">
      <c r="A105" s="18" t="n"/>
      <c r="B105" s="7" t="n"/>
      <c r="C105" s="7" t="n"/>
      <c r="D105" s="12">
        <f>IFERROR(INDEX(Produkte!$B$2:$B$301,MATCH(C105,Produkte!$A$2:$A$301,0)),"")</f>
        <v/>
      </c>
      <c r="E105" s="7" t="n"/>
      <c r="F105" s="7" t="n"/>
      <c r="G105" s="12">
        <f>IF(OR(E105="",F105=""),"",E105*F105/1000)</f>
        <v/>
      </c>
      <c r="H105" s="7" t="n"/>
      <c r="I105" s="7" t="n"/>
      <c r="J105" s="7" t="n"/>
      <c r="K105" s="7" t="n"/>
    </row>
    <row r="106">
      <c r="A106" s="18" t="n"/>
      <c r="B106" s="7" t="n"/>
      <c r="C106" s="7" t="n"/>
      <c r="D106" s="12">
        <f>IFERROR(INDEX(Produkte!$B$2:$B$301,MATCH(C106,Produkte!$A$2:$A$301,0)),"")</f>
        <v/>
      </c>
      <c r="E106" s="7" t="n"/>
      <c r="F106" s="7" t="n"/>
      <c r="G106" s="12">
        <f>IF(OR(E106="",F106=""),"",E106*F106/1000)</f>
        <v/>
      </c>
      <c r="H106" s="7" t="n"/>
      <c r="I106" s="7" t="n"/>
      <c r="J106" s="7" t="n"/>
      <c r="K106" s="7" t="n"/>
    </row>
    <row r="107">
      <c r="A107" s="18" t="n"/>
      <c r="B107" s="7" t="n"/>
      <c r="C107" s="7" t="n"/>
      <c r="D107" s="12">
        <f>IFERROR(INDEX(Produkte!$B$2:$B$301,MATCH(C107,Produkte!$A$2:$A$301,0)),"")</f>
        <v/>
      </c>
      <c r="E107" s="7" t="n"/>
      <c r="F107" s="7" t="n"/>
      <c r="G107" s="12">
        <f>IF(OR(E107="",F107=""),"",E107*F107/1000)</f>
        <v/>
      </c>
      <c r="H107" s="7" t="n"/>
      <c r="I107" s="7" t="n"/>
      <c r="J107" s="7" t="n"/>
      <c r="K107" s="7" t="n"/>
    </row>
    <row r="108">
      <c r="A108" s="18" t="n"/>
      <c r="B108" s="7" t="n"/>
      <c r="C108" s="7" t="n"/>
      <c r="D108" s="12">
        <f>IFERROR(INDEX(Produkte!$B$2:$B$301,MATCH(C108,Produkte!$A$2:$A$301,0)),"")</f>
        <v/>
      </c>
      <c r="E108" s="7" t="n"/>
      <c r="F108" s="7" t="n"/>
      <c r="G108" s="12">
        <f>IF(OR(E108="",F108=""),"",E108*F108/1000)</f>
        <v/>
      </c>
      <c r="H108" s="7" t="n"/>
      <c r="I108" s="7" t="n"/>
      <c r="J108" s="7" t="n"/>
      <c r="K108" s="7" t="n"/>
    </row>
    <row r="109">
      <c r="A109" s="18" t="n"/>
      <c r="B109" s="7" t="n"/>
      <c r="C109" s="7" t="n"/>
      <c r="D109" s="12">
        <f>IFERROR(INDEX(Produkte!$B$2:$B$301,MATCH(C109,Produkte!$A$2:$A$301,0)),"")</f>
        <v/>
      </c>
      <c r="E109" s="7" t="n"/>
      <c r="F109" s="7" t="n"/>
      <c r="G109" s="12">
        <f>IF(OR(E109="",F109=""),"",E109*F109/1000)</f>
        <v/>
      </c>
      <c r="H109" s="7" t="n"/>
      <c r="I109" s="7" t="n"/>
      <c r="J109" s="7" t="n"/>
      <c r="K109" s="7" t="n"/>
    </row>
    <row r="110">
      <c r="A110" s="18" t="n"/>
      <c r="B110" s="7" t="n"/>
      <c r="C110" s="7" t="n"/>
      <c r="D110" s="12">
        <f>IFERROR(INDEX(Produkte!$B$2:$B$301,MATCH(C110,Produkte!$A$2:$A$301,0)),"")</f>
        <v/>
      </c>
      <c r="E110" s="7" t="n"/>
      <c r="F110" s="7" t="n"/>
      <c r="G110" s="12">
        <f>IF(OR(E110="",F110=""),"",E110*F110/1000)</f>
        <v/>
      </c>
      <c r="H110" s="7" t="n"/>
      <c r="I110" s="7" t="n"/>
      <c r="J110" s="7" t="n"/>
      <c r="K110" s="7" t="n"/>
    </row>
    <row r="111">
      <c r="A111" s="18" t="n"/>
      <c r="B111" s="7" t="n"/>
      <c r="C111" s="7" t="n"/>
      <c r="D111" s="12">
        <f>IFERROR(INDEX(Produkte!$B$2:$B$301,MATCH(C111,Produkte!$A$2:$A$301,0)),"")</f>
        <v/>
      </c>
      <c r="E111" s="7" t="n"/>
      <c r="F111" s="7" t="n"/>
      <c r="G111" s="12">
        <f>IF(OR(E111="",F111=""),"",E111*F111/1000)</f>
        <v/>
      </c>
      <c r="H111" s="7" t="n"/>
      <c r="I111" s="7" t="n"/>
      <c r="J111" s="7" t="n"/>
      <c r="K111" s="7" t="n"/>
    </row>
    <row r="112">
      <c r="A112" s="18" t="n"/>
      <c r="B112" s="7" t="n"/>
      <c r="C112" s="7" t="n"/>
      <c r="D112" s="12">
        <f>IFERROR(INDEX(Produkte!$B$2:$B$301,MATCH(C112,Produkte!$A$2:$A$301,0)),"")</f>
        <v/>
      </c>
      <c r="E112" s="7" t="n"/>
      <c r="F112" s="7" t="n"/>
      <c r="G112" s="12">
        <f>IF(OR(E112="",F112=""),"",E112*F112/1000)</f>
        <v/>
      </c>
      <c r="H112" s="7" t="n"/>
      <c r="I112" s="7" t="n"/>
      <c r="J112" s="7" t="n"/>
      <c r="K112" s="7" t="n"/>
    </row>
    <row r="113">
      <c r="A113" s="18" t="n"/>
      <c r="B113" s="7" t="n"/>
      <c r="C113" s="7" t="n"/>
      <c r="D113" s="12">
        <f>IFERROR(INDEX(Produkte!$B$2:$B$301,MATCH(C113,Produkte!$A$2:$A$301,0)),"")</f>
        <v/>
      </c>
      <c r="E113" s="7" t="n"/>
      <c r="F113" s="7" t="n"/>
      <c r="G113" s="12">
        <f>IF(OR(E113="",F113=""),"",E113*F113/1000)</f>
        <v/>
      </c>
      <c r="H113" s="7" t="n"/>
      <c r="I113" s="7" t="n"/>
      <c r="J113" s="7" t="n"/>
      <c r="K113" s="7" t="n"/>
    </row>
    <row r="114">
      <c r="A114" s="18" t="n"/>
      <c r="B114" s="7" t="n"/>
      <c r="C114" s="7" t="n"/>
      <c r="D114" s="12">
        <f>IFERROR(INDEX(Produkte!$B$2:$B$301,MATCH(C114,Produkte!$A$2:$A$301,0)),"")</f>
        <v/>
      </c>
      <c r="E114" s="7" t="n"/>
      <c r="F114" s="7" t="n"/>
      <c r="G114" s="12">
        <f>IF(OR(E114="",F114=""),"",E114*F114/1000)</f>
        <v/>
      </c>
      <c r="H114" s="7" t="n"/>
      <c r="I114" s="7" t="n"/>
      <c r="J114" s="7" t="n"/>
      <c r="K114" s="7" t="n"/>
    </row>
    <row r="115">
      <c r="A115" s="18" t="n"/>
      <c r="B115" s="7" t="n"/>
      <c r="C115" s="7" t="n"/>
      <c r="D115" s="12">
        <f>IFERROR(INDEX(Produkte!$B$2:$B$301,MATCH(C115,Produkte!$A$2:$A$301,0)),"")</f>
        <v/>
      </c>
      <c r="E115" s="7" t="n"/>
      <c r="F115" s="7" t="n"/>
      <c r="G115" s="12">
        <f>IF(OR(E115="",F115=""),"",E115*F115/1000)</f>
        <v/>
      </c>
      <c r="H115" s="7" t="n"/>
      <c r="I115" s="7" t="n"/>
      <c r="J115" s="7" t="n"/>
      <c r="K115" s="7" t="n"/>
    </row>
    <row r="116">
      <c r="A116" s="18" t="n"/>
      <c r="B116" s="7" t="n"/>
      <c r="C116" s="7" t="n"/>
      <c r="D116" s="12">
        <f>IFERROR(INDEX(Produkte!$B$2:$B$301,MATCH(C116,Produkte!$A$2:$A$301,0)),"")</f>
        <v/>
      </c>
      <c r="E116" s="7" t="n"/>
      <c r="F116" s="7" t="n"/>
      <c r="G116" s="12">
        <f>IF(OR(E116="",F116=""),"",E116*F116/1000)</f>
        <v/>
      </c>
      <c r="H116" s="7" t="n"/>
      <c r="I116" s="7" t="n"/>
      <c r="J116" s="7" t="n"/>
      <c r="K116" s="7" t="n"/>
    </row>
    <row r="117">
      <c r="A117" s="18" t="n"/>
      <c r="B117" s="7" t="n"/>
      <c r="C117" s="7" t="n"/>
      <c r="D117" s="12">
        <f>IFERROR(INDEX(Produkte!$B$2:$B$301,MATCH(C117,Produkte!$A$2:$A$301,0)),"")</f>
        <v/>
      </c>
      <c r="E117" s="7" t="n"/>
      <c r="F117" s="7" t="n"/>
      <c r="G117" s="12">
        <f>IF(OR(E117="",F117=""),"",E117*F117/1000)</f>
        <v/>
      </c>
      <c r="H117" s="7" t="n"/>
      <c r="I117" s="7" t="n"/>
      <c r="J117" s="7" t="n"/>
      <c r="K117" s="7" t="n"/>
    </row>
    <row r="118">
      <c r="A118" s="18" t="n"/>
      <c r="B118" s="7" t="n"/>
      <c r="C118" s="7" t="n"/>
      <c r="D118" s="12">
        <f>IFERROR(INDEX(Produkte!$B$2:$B$301,MATCH(C118,Produkte!$A$2:$A$301,0)),"")</f>
        <v/>
      </c>
      <c r="E118" s="7" t="n"/>
      <c r="F118" s="7" t="n"/>
      <c r="G118" s="12">
        <f>IF(OR(E118="",F118=""),"",E118*F118/1000)</f>
        <v/>
      </c>
      <c r="H118" s="7" t="n"/>
      <c r="I118" s="7" t="n"/>
      <c r="J118" s="7" t="n"/>
      <c r="K118" s="7" t="n"/>
    </row>
    <row r="119">
      <c r="A119" s="18" t="n"/>
      <c r="B119" s="7" t="n"/>
      <c r="C119" s="7" t="n"/>
      <c r="D119" s="12">
        <f>IFERROR(INDEX(Produkte!$B$2:$B$301,MATCH(C119,Produkte!$A$2:$A$301,0)),"")</f>
        <v/>
      </c>
      <c r="E119" s="7" t="n"/>
      <c r="F119" s="7" t="n"/>
      <c r="G119" s="12">
        <f>IF(OR(E119="",F119=""),"",E119*F119/1000)</f>
        <v/>
      </c>
      <c r="H119" s="7" t="n"/>
      <c r="I119" s="7" t="n"/>
      <c r="J119" s="7" t="n"/>
      <c r="K119" s="7" t="n"/>
    </row>
    <row r="120">
      <c r="A120" s="18" t="n"/>
      <c r="B120" s="7" t="n"/>
      <c r="C120" s="7" t="n"/>
      <c r="D120" s="12">
        <f>IFERROR(INDEX(Produkte!$B$2:$B$301,MATCH(C120,Produkte!$A$2:$A$301,0)),"")</f>
        <v/>
      </c>
      <c r="E120" s="7" t="n"/>
      <c r="F120" s="7" t="n"/>
      <c r="G120" s="12">
        <f>IF(OR(E120="",F120=""),"",E120*F120/1000)</f>
        <v/>
      </c>
      <c r="H120" s="7" t="n"/>
      <c r="I120" s="7" t="n"/>
      <c r="J120" s="7" t="n"/>
      <c r="K120" s="7" t="n"/>
    </row>
    <row r="121">
      <c r="A121" s="18" t="n"/>
      <c r="B121" s="7" t="n"/>
      <c r="C121" s="7" t="n"/>
      <c r="D121" s="12">
        <f>IFERROR(INDEX(Produkte!$B$2:$B$301,MATCH(C121,Produkte!$A$2:$A$301,0)),"")</f>
        <v/>
      </c>
      <c r="E121" s="7" t="n"/>
      <c r="F121" s="7" t="n"/>
      <c r="G121" s="12">
        <f>IF(OR(E121="",F121=""),"",E121*F121/1000)</f>
        <v/>
      </c>
      <c r="H121" s="7" t="n"/>
      <c r="I121" s="7" t="n"/>
      <c r="J121" s="7" t="n"/>
      <c r="K121" s="7" t="n"/>
    </row>
    <row r="122">
      <c r="A122" s="18" t="n"/>
      <c r="B122" s="7" t="n"/>
      <c r="C122" s="7" t="n"/>
      <c r="D122" s="12">
        <f>IFERROR(INDEX(Produkte!$B$2:$B$301,MATCH(C122,Produkte!$A$2:$A$301,0)),"")</f>
        <v/>
      </c>
      <c r="E122" s="7" t="n"/>
      <c r="F122" s="7" t="n"/>
      <c r="G122" s="12">
        <f>IF(OR(E122="",F122=""),"",E122*F122/1000)</f>
        <v/>
      </c>
      <c r="H122" s="7" t="n"/>
      <c r="I122" s="7" t="n"/>
      <c r="J122" s="7" t="n"/>
      <c r="K122" s="7" t="n"/>
    </row>
    <row r="123">
      <c r="A123" s="18" t="n"/>
      <c r="B123" s="7" t="n"/>
      <c r="C123" s="7" t="n"/>
      <c r="D123" s="12">
        <f>IFERROR(INDEX(Produkte!$B$2:$B$301,MATCH(C123,Produkte!$A$2:$A$301,0)),"")</f>
        <v/>
      </c>
      <c r="E123" s="7" t="n"/>
      <c r="F123" s="7" t="n"/>
      <c r="G123" s="12">
        <f>IF(OR(E123="",F123=""),"",E123*F123/1000)</f>
        <v/>
      </c>
      <c r="H123" s="7" t="n"/>
      <c r="I123" s="7" t="n"/>
      <c r="J123" s="7" t="n"/>
      <c r="K123" s="7" t="n"/>
    </row>
    <row r="124">
      <c r="A124" s="18" t="n"/>
      <c r="B124" s="7" t="n"/>
      <c r="C124" s="7" t="n"/>
      <c r="D124" s="12">
        <f>IFERROR(INDEX(Produkte!$B$2:$B$301,MATCH(C124,Produkte!$A$2:$A$301,0)),"")</f>
        <v/>
      </c>
      <c r="E124" s="7" t="n"/>
      <c r="F124" s="7" t="n"/>
      <c r="G124" s="12">
        <f>IF(OR(E124="",F124=""),"",E124*F124/1000)</f>
        <v/>
      </c>
      <c r="H124" s="7" t="n"/>
      <c r="I124" s="7" t="n"/>
      <c r="J124" s="7" t="n"/>
      <c r="K124" s="7" t="n"/>
    </row>
    <row r="125">
      <c r="A125" s="18" t="n"/>
      <c r="B125" s="7" t="n"/>
      <c r="C125" s="7" t="n"/>
      <c r="D125" s="12">
        <f>IFERROR(INDEX(Produkte!$B$2:$B$301,MATCH(C125,Produkte!$A$2:$A$301,0)),"")</f>
        <v/>
      </c>
      <c r="E125" s="7" t="n"/>
      <c r="F125" s="7" t="n"/>
      <c r="G125" s="12">
        <f>IF(OR(E125="",F125=""),"",E125*F125/1000)</f>
        <v/>
      </c>
      <c r="H125" s="7" t="n"/>
      <c r="I125" s="7" t="n"/>
      <c r="J125" s="7" t="n"/>
      <c r="K125" s="7" t="n"/>
    </row>
    <row r="126">
      <c r="A126" s="18" t="n"/>
      <c r="B126" s="7" t="n"/>
      <c r="C126" s="7" t="n"/>
      <c r="D126" s="12">
        <f>IFERROR(INDEX(Produkte!$B$2:$B$301,MATCH(C126,Produkte!$A$2:$A$301,0)),"")</f>
        <v/>
      </c>
      <c r="E126" s="7" t="n"/>
      <c r="F126" s="7" t="n"/>
      <c r="G126" s="12">
        <f>IF(OR(E126="",F126=""),"",E126*F126/1000)</f>
        <v/>
      </c>
      <c r="H126" s="7" t="n"/>
      <c r="I126" s="7" t="n"/>
      <c r="J126" s="7" t="n"/>
      <c r="K126" s="7" t="n"/>
    </row>
    <row r="127">
      <c r="A127" s="18" t="n"/>
      <c r="B127" s="7" t="n"/>
      <c r="C127" s="7" t="n"/>
      <c r="D127" s="12">
        <f>IFERROR(INDEX(Produkte!$B$2:$B$301,MATCH(C127,Produkte!$A$2:$A$301,0)),"")</f>
        <v/>
      </c>
      <c r="E127" s="7" t="n"/>
      <c r="F127" s="7" t="n"/>
      <c r="G127" s="12">
        <f>IF(OR(E127="",F127=""),"",E127*F127/1000)</f>
        <v/>
      </c>
      <c r="H127" s="7" t="n"/>
      <c r="I127" s="7" t="n"/>
      <c r="J127" s="7" t="n"/>
      <c r="K127" s="7" t="n"/>
    </row>
    <row r="128">
      <c r="A128" s="18" t="n"/>
      <c r="B128" s="7" t="n"/>
      <c r="C128" s="7" t="n"/>
      <c r="D128" s="12">
        <f>IFERROR(INDEX(Produkte!$B$2:$B$301,MATCH(C128,Produkte!$A$2:$A$301,0)),"")</f>
        <v/>
      </c>
      <c r="E128" s="7" t="n"/>
      <c r="F128" s="7" t="n"/>
      <c r="G128" s="12">
        <f>IF(OR(E128="",F128=""),"",E128*F128/1000)</f>
        <v/>
      </c>
      <c r="H128" s="7" t="n"/>
      <c r="I128" s="7" t="n"/>
      <c r="J128" s="7" t="n"/>
      <c r="K128" s="7" t="n"/>
    </row>
    <row r="129">
      <c r="A129" s="18" t="n"/>
      <c r="B129" s="7" t="n"/>
      <c r="C129" s="7" t="n"/>
      <c r="D129" s="12">
        <f>IFERROR(INDEX(Produkte!$B$2:$B$301,MATCH(C129,Produkte!$A$2:$A$301,0)),"")</f>
        <v/>
      </c>
      <c r="E129" s="7" t="n"/>
      <c r="F129" s="7" t="n"/>
      <c r="G129" s="12">
        <f>IF(OR(E129="",F129=""),"",E129*F129/1000)</f>
        <v/>
      </c>
      <c r="H129" s="7" t="n"/>
      <c r="I129" s="7" t="n"/>
      <c r="J129" s="7" t="n"/>
      <c r="K129" s="7" t="n"/>
    </row>
    <row r="130">
      <c r="A130" s="18" t="n"/>
      <c r="B130" s="7" t="n"/>
      <c r="C130" s="7" t="n"/>
      <c r="D130" s="12">
        <f>IFERROR(INDEX(Produkte!$B$2:$B$301,MATCH(C130,Produkte!$A$2:$A$301,0)),"")</f>
        <v/>
      </c>
      <c r="E130" s="7" t="n"/>
      <c r="F130" s="7" t="n"/>
      <c r="G130" s="12">
        <f>IF(OR(E130="",F130=""),"",E130*F130/1000)</f>
        <v/>
      </c>
      <c r="H130" s="7" t="n"/>
      <c r="I130" s="7" t="n"/>
      <c r="J130" s="7" t="n"/>
      <c r="K130" s="7" t="n"/>
    </row>
    <row r="131">
      <c r="A131" s="18" t="n"/>
      <c r="B131" s="7" t="n"/>
      <c r="C131" s="7" t="n"/>
      <c r="D131" s="12">
        <f>IFERROR(INDEX(Produkte!$B$2:$B$301,MATCH(C131,Produkte!$A$2:$A$301,0)),"")</f>
        <v/>
      </c>
      <c r="E131" s="7" t="n"/>
      <c r="F131" s="7" t="n"/>
      <c r="G131" s="12">
        <f>IF(OR(E131="",F131=""),"",E131*F131/1000)</f>
        <v/>
      </c>
      <c r="H131" s="7" t="n"/>
      <c r="I131" s="7" t="n"/>
      <c r="J131" s="7" t="n"/>
      <c r="K131" s="7" t="n"/>
    </row>
    <row r="132">
      <c r="A132" s="18" t="n"/>
      <c r="B132" s="7" t="n"/>
      <c r="C132" s="7" t="n"/>
      <c r="D132" s="12">
        <f>IFERROR(INDEX(Produkte!$B$2:$B$301,MATCH(C132,Produkte!$A$2:$A$301,0)),"")</f>
        <v/>
      </c>
      <c r="E132" s="7" t="n"/>
      <c r="F132" s="7" t="n"/>
      <c r="G132" s="12">
        <f>IF(OR(E132="",F132=""),"",E132*F132/1000)</f>
        <v/>
      </c>
      <c r="H132" s="7" t="n"/>
      <c r="I132" s="7" t="n"/>
      <c r="J132" s="7" t="n"/>
      <c r="K132" s="7" t="n"/>
    </row>
    <row r="133">
      <c r="A133" s="18" t="n"/>
      <c r="B133" s="7" t="n"/>
      <c r="C133" s="7" t="n"/>
      <c r="D133" s="12">
        <f>IFERROR(INDEX(Produkte!$B$2:$B$301,MATCH(C133,Produkte!$A$2:$A$301,0)),"")</f>
        <v/>
      </c>
      <c r="E133" s="7" t="n"/>
      <c r="F133" s="7" t="n"/>
      <c r="G133" s="12">
        <f>IF(OR(E133="",F133=""),"",E133*F133/1000)</f>
        <v/>
      </c>
      <c r="H133" s="7" t="n"/>
      <c r="I133" s="7" t="n"/>
      <c r="J133" s="7" t="n"/>
      <c r="K133" s="7" t="n"/>
    </row>
    <row r="134">
      <c r="A134" s="18" t="n"/>
      <c r="B134" s="7" t="n"/>
      <c r="C134" s="7" t="n"/>
      <c r="D134" s="12">
        <f>IFERROR(INDEX(Produkte!$B$2:$B$301,MATCH(C134,Produkte!$A$2:$A$301,0)),"")</f>
        <v/>
      </c>
      <c r="E134" s="7" t="n"/>
      <c r="F134" s="7" t="n"/>
      <c r="G134" s="12">
        <f>IF(OR(E134="",F134=""),"",E134*F134/1000)</f>
        <v/>
      </c>
      <c r="H134" s="7" t="n"/>
      <c r="I134" s="7" t="n"/>
      <c r="J134" s="7" t="n"/>
      <c r="K134" s="7" t="n"/>
    </row>
    <row r="135">
      <c r="A135" s="18" t="n"/>
      <c r="B135" s="7" t="n"/>
      <c r="C135" s="7" t="n"/>
      <c r="D135" s="12">
        <f>IFERROR(INDEX(Produkte!$B$2:$B$301,MATCH(C135,Produkte!$A$2:$A$301,0)),"")</f>
        <v/>
      </c>
      <c r="E135" s="7" t="n"/>
      <c r="F135" s="7" t="n"/>
      <c r="G135" s="12">
        <f>IF(OR(E135="",F135=""),"",E135*F135/1000)</f>
        <v/>
      </c>
      <c r="H135" s="7" t="n"/>
      <c r="I135" s="7" t="n"/>
      <c r="J135" s="7" t="n"/>
      <c r="K135" s="7" t="n"/>
    </row>
    <row r="136">
      <c r="A136" s="18" t="n"/>
      <c r="B136" s="7" t="n"/>
      <c r="C136" s="7" t="n"/>
      <c r="D136" s="12">
        <f>IFERROR(INDEX(Produkte!$B$2:$B$301,MATCH(C136,Produkte!$A$2:$A$301,0)),"")</f>
        <v/>
      </c>
      <c r="E136" s="7" t="n"/>
      <c r="F136" s="7" t="n"/>
      <c r="G136" s="12">
        <f>IF(OR(E136="",F136=""),"",E136*F136/1000)</f>
        <v/>
      </c>
      <c r="H136" s="7" t="n"/>
      <c r="I136" s="7" t="n"/>
      <c r="J136" s="7" t="n"/>
      <c r="K136" s="7" t="n"/>
    </row>
    <row r="137">
      <c r="A137" s="18" t="n"/>
      <c r="B137" s="7" t="n"/>
      <c r="C137" s="7" t="n"/>
      <c r="D137" s="12">
        <f>IFERROR(INDEX(Produkte!$B$2:$B$301,MATCH(C137,Produkte!$A$2:$A$301,0)),"")</f>
        <v/>
      </c>
      <c r="E137" s="7" t="n"/>
      <c r="F137" s="7" t="n"/>
      <c r="G137" s="12">
        <f>IF(OR(E137="",F137=""),"",E137*F137/1000)</f>
        <v/>
      </c>
      <c r="H137" s="7" t="n"/>
      <c r="I137" s="7" t="n"/>
      <c r="J137" s="7" t="n"/>
      <c r="K137" s="7" t="n"/>
    </row>
    <row r="138">
      <c r="A138" s="18" t="n"/>
      <c r="B138" s="7" t="n"/>
      <c r="C138" s="7" t="n"/>
      <c r="D138" s="12">
        <f>IFERROR(INDEX(Produkte!$B$2:$B$301,MATCH(C138,Produkte!$A$2:$A$301,0)),"")</f>
        <v/>
      </c>
      <c r="E138" s="7" t="n"/>
      <c r="F138" s="7" t="n"/>
      <c r="G138" s="12">
        <f>IF(OR(E138="",F138=""),"",E138*F138/1000)</f>
        <v/>
      </c>
      <c r="H138" s="7" t="n"/>
      <c r="I138" s="7" t="n"/>
      <c r="J138" s="7" t="n"/>
      <c r="K138" s="7" t="n"/>
    </row>
    <row r="139">
      <c r="A139" s="18" t="n"/>
      <c r="B139" s="7" t="n"/>
      <c r="C139" s="7" t="n"/>
      <c r="D139" s="12">
        <f>IFERROR(INDEX(Produkte!$B$2:$B$301,MATCH(C139,Produkte!$A$2:$A$301,0)),"")</f>
        <v/>
      </c>
      <c r="E139" s="7" t="n"/>
      <c r="F139" s="7" t="n"/>
      <c r="G139" s="12">
        <f>IF(OR(E139="",F139=""),"",E139*F139/1000)</f>
        <v/>
      </c>
      <c r="H139" s="7" t="n"/>
      <c r="I139" s="7" t="n"/>
      <c r="J139" s="7" t="n"/>
      <c r="K139" s="7" t="n"/>
    </row>
    <row r="140">
      <c r="A140" s="18" t="n"/>
      <c r="B140" s="7" t="n"/>
      <c r="C140" s="7" t="n"/>
      <c r="D140" s="12">
        <f>IFERROR(INDEX(Produkte!$B$2:$B$301,MATCH(C140,Produkte!$A$2:$A$301,0)),"")</f>
        <v/>
      </c>
      <c r="E140" s="7" t="n"/>
      <c r="F140" s="7" t="n"/>
      <c r="G140" s="12">
        <f>IF(OR(E140="",F140=""),"",E140*F140/1000)</f>
        <v/>
      </c>
      <c r="H140" s="7" t="n"/>
      <c r="I140" s="7" t="n"/>
      <c r="J140" s="7" t="n"/>
      <c r="K140" s="7" t="n"/>
    </row>
    <row r="141">
      <c r="A141" s="18" t="n"/>
      <c r="B141" s="7" t="n"/>
      <c r="C141" s="7" t="n"/>
      <c r="D141" s="12">
        <f>IFERROR(INDEX(Produkte!$B$2:$B$301,MATCH(C141,Produkte!$A$2:$A$301,0)),"")</f>
        <v/>
      </c>
      <c r="E141" s="7" t="n"/>
      <c r="F141" s="7" t="n"/>
      <c r="G141" s="12">
        <f>IF(OR(E141="",F141=""),"",E141*F141/1000)</f>
        <v/>
      </c>
      <c r="H141" s="7" t="n"/>
      <c r="I141" s="7" t="n"/>
      <c r="J141" s="7" t="n"/>
      <c r="K141" s="7" t="n"/>
    </row>
    <row r="142">
      <c r="A142" s="18" t="n"/>
      <c r="B142" s="7" t="n"/>
      <c r="C142" s="7" t="n"/>
      <c r="D142" s="12">
        <f>IFERROR(INDEX(Produkte!$B$2:$B$301,MATCH(C142,Produkte!$A$2:$A$301,0)),"")</f>
        <v/>
      </c>
      <c r="E142" s="7" t="n"/>
      <c r="F142" s="7" t="n"/>
      <c r="G142" s="12">
        <f>IF(OR(E142="",F142=""),"",E142*F142/1000)</f>
        <v/>
      </c>
      <c r="H142" s="7" t="n"/>
      <c r="I142" s="7" t="n"/>
      <c r="J142" s="7" t="n"/>
      <c r="K142" s="7" t="n"/>
    </row>
    <row r="143">
      <c r="A143" s="18" t="n"/>
      <c r="B143" s="7" t="n"/>
      <c r="C143" s="7" t="n"/>
      <c r="D143" s="12">
        <f>IFERROR(INDEX(Produkte!$B$2:$B$301,MATCH(C143,Produkte!$A$2:$A$301,0)),"")</f>
        <v/>
      </c>
      <c r="E143" s="7" t="n"/>
      <c r="F143" s="7" t="n"/>
      <c r="G143" s="12">
        <f>IF(OR(E143="",F143=""),"",E143*F143/1000)</f>
        <v/>
      </c>
      <c r="H143" s="7" t="n"/>
      <c r="I143" s="7" t="n"/>
      <c r="J143" s="7" t="n"/>
      <c r="K143" s="7" t="n"/>
    </row>
    <row r="144">
      <c r="A144" s="18" t="n"/>
      <c r="B144" s="7" t="n"/>
      <c r="C144" s="7" t="n"/>
      <c r="D144" s="12">
        <f>IFERROR(INDEX(Produkte!$B$2:$B$301,MATCH(C144,Produkte!$A$2:$A$301,0)),"")</f>
        <v/>
      </c>
      <c r="E144" s="7" t="n"/>
      <c r="F144" s="7" t="n"/>
      <c r="G144" s="12">
        <f>IF(OR(E144="",F144=""),"",E144*F144/1000)</f>
        <v/>
      </c>
      <c r="H144" s="7" t="n"/>
      <c r="I144" s="7" t="n"/>
      <c r="J144" s="7" t="n"/>
      <c r="K144" s="7" t="n"/>
    </row>
    <row r="145">
      <c r="A145" s="18" t="n"/>
      <c r="B145" s="7" t="n"/>
      <c r="C145" s="7" t="n"/>
      <c r="D145" s="12">
        <f>IFERROR(INDEX(Produkte!$B$2:$B$301,MATCH(C145,Produkte!$A$2:$A$301,0)),"")</f>
        <v/>
      </c>
      <c r="E145" s="7" t="n"/>
      <c r="F145" s="7" t="n"/>
      <c r="G145" s="12">
        <f>IF(OR(E145="",F145=""),"",E145*F145/1000)</f>
        <v/>
      </c>
      <c r="H145" s="7" t="n"/>
      <c r="I145" s="7" t="n"/>
      <c r="J145" s="7" t="n"/>
      <c r="K145" s="7" t="n"/>
    </row>
    <row r="146">
      <c r="A146" s="18" t="n"/>
      <c r="B146" s="7" t="n"/>
      <c r="C146" s="7" t="n"/>
      <c r="D146" s="12">
        <f>IFERROR(INDEX(Produkte!$B$2:$B$301,MATCH(C146,Produkte!$A$2:$A$301,0)),"")</f>
        <v/>
      </c>
      <c r="E146" s="7" t="n"/>
      <c r="F146" s="7" t="n"/>
      <c r="G146" s="12">
        <f>IF(OR(E146="",F146=""),"",E146*F146/1000)</f>
        <v/>
      </c>
      <c r="H146" s="7" t="n"/>
      <c r="I146" s="7" t="n"/>
      <c r="J146" s="7" t="n"/>
      <c r="K146" s="7" t="n"/>
    </row>
    <row r="147">
      <c r="A147" s="18" t="n"/>
      <c r="B147" s="7" t="n"/>
      <c r="C147" s="7" t="n"/>
      <c r="D147" s="12">
        <f>IFERROR(INDEX(Produkte!$B$2:$B$301,MATCH(C147,Produkte!$A$2:$A$301,0)),"")</f>
        <v/>
      </c>
      <c r="E147" s="7" t="n"/>
      <c r="F147" s="7" t="n"/>
      <c r="G147" s="12">
        <f>IF(OR(E147="",F147=""),"",E147*F147/1000)</f>
        <v/>
      </c>
      <c r="H147" s="7" t="n"/>
      <c r="I147" s="7" t="n"/>
      <c r="J147" s="7" t="n"/>
      <c r="K147" s="7" t="n"/>
    </row>
    <row r="148">
      <c r="A148" s="18" t="n"/>
      <c r="B148" s="7" t="n"/>
      <c r="C148" s="7" t="n"/>
      <c r="D148" s="12">
        <f>IFERROR(INDEX(Produkte!$B$2:$B$301,MATCH(C148,Produkte!$A$2:$A$301,0)),"")</f>
        <v/>
      </c>
      <c r="E148" s="7" t="n"/>
      <c r="F148" s="7" t="n"/>
      <c r="G148" s="12">
        <f>IF(OR(E148="",F148=""),"",E148*F148/1000)</f>
        <v/>
      </c>
      <c r="H148" s="7" t="n"/>
      <c r="I148" s="7" t="n"/>
      <c r="J148" s="7" t="n"/>
      <c r="K148" s="7" t="n"/>
    </row>
    <row r="149">
      <c r="A149" s="18" t="n"/>
      <c r="B149" s="7" t="n"/>
      <c r="C149" s="7" t="n"/>
      <c r="D149" s="12">
        <f>IFERROR(INDEX(Produkte!$B$2:$B$301,MATCH(C149,Produkte!$A$2:$A$301,0)),"")</f>
        <v/>
      </c>
      <c r="E149" s="7" t="n"/>
      <c r="F149" s="7" t="n"/>
      <c r="G149" s="12">
        <f>IF(OR(E149="",F149=""),"",E149*F149/1000)</f>
        <v/>
      </c>
      <c r="H149" s="7" t="n"/>
      <c r="I149" s="7" t="n"/>
      <c r="J149" s="7" t="n"/>
      <c r="K149" s="7" t="n"/>
    </row>
    <row r="150">
      <c r="A150" s="18" t="n"/>
      <c r="B150" s="7" t="n"/>
      <c r="C150" s="7" t="n"/>
      <c r="D150" s="12">
        <f>IFERROR(INDEX(Produkte!$B$2:$B$301,MATCH(C150,Produkte!$A$2:$A$301,0)),"")</f>
        <v/>
      </c>
      <c r="E150" s="7" t="n"/>
      <c r="F150" s="7" t="n"/>
      <c r="G150" s="12">
        <f>IF(OR(E150="",F150=""),"",E150*F150/1000)</f>
        <v/>
      </c>
      <c r="H150" s="7" t="n"/>
      <c r="I150" s="7" t="n"/>
      <c r="J150" s="7" t="n"/>
      <c r="K150" s="7" t="n"/>
    </row>
    <row r="151">
      <c r="A151" s="18" t="n"/>
      <c r="B151" s="7" t="n"/>
      <c r="C151" s="7" t="n"/>
      <c r="D151" s="12">
        <f>IFERROR(INDEX(Produkte!$B$2:$B$301,MATCH(C151,Produkte!$A$2:$A$301,0)),"")</f>
        <v/>
      </c>
      <c r="E151" s="7" t="n"/>
      <c r="F151" s="7" t="n"/>
      <c r="G151" s="12">
        <f>IF(OR(E151="",F151=""),"",E151*F151/1000)</f>
        <v/>
      </c>
      <c r="H151" s="7" t="n"/>
      <c r="I151" s="7" t="n"/>
      <c r="J151" s="7" t="n"/>
      <c r="K151" s="7" t="n"/>
    </row>
    <row r="152">
      <c r="A152" s="18" t="n"/>
      <c r="B152" s="7" t="n"/>
      <c r="C152" s="7" t="n"/>
      <c r="D152" s="12">
        <f>IFERROR(INDEX(Produkte!$B$2:$B$301,MATCH(C152,Produkte!$A$2:$A$301,0)),"")</f>
        <v/>
      </c>
      <c r="E152" s="7" t="n"/>
      <c r="F152" s="7" t="n"/>
      <c r="G152" s="12">
        <f>IF(OR(E152="",F152=""),"",E152*F152/1000)</f>
        <v/>
      </c>
      <c r="H152" s="7" t="n"/>
      <c r="I152" s="7" t="n"/>
      <c r="J152" s="7" t="n"/>
      <c r="K152" s="7" t="n"/>
    </row>
    <row r="153">
      <c r="A153" s="18" t="n"/>
      <c r="B153" s="7" t="n"/>
      <c r="C153" s="7" t="n"/>
      <c r="D153" s="12">
        <f>IFERROR(INDEX(Produkte!$B$2:$B$301,MATCH(C153,Produkte!$A$2:$A$301,0)),"")</f>
        <v/>
      </c>
      <c r="E153" s="7" t="n"/>
      <c r="F153" s="7" t="n"/>
      <c r="G153" s="12">
        <f>IF(OR(E153="",F153=""),"",E153*F153/1000)</f>
        <v/>
      </c>
      <c r="H153" s="7" t="n"/>
      <c r="I153" s="7" t="n"/>
      <c r="J153" s="7" t="n"/>
      <c r="K153" s="7" t="n"/>
    </row>
    <row r="154">
      <c r="A154" s="18" t="n"/>
      <c r="B154" s="7" t="n"/>
      <c r="C154" s="7" t="n"/>
      <c r="D154" s="12">
        <f>IFERROR(INDEX(Produkte!$B$2:$B$301,MATCH(C154,Produkte!$A$2:$A$301,0)),"")</f>
        <v/>
      </c>
      <c r="E154" s="7" t="n"/>
      <c r="F154" s="7" t="n"/>
      <c r="G154" s="12">
        <f>IF(OR(E154="",F154=""),"",E154*F154/1000)</f>
        <v/>
      </c>
      <c r="H154" s="7" t="n"/>
      <c r="I154" s="7" t="n"/>
      <c r="J154" s="7" t="n"/>
      <c r="K154" s="7" t="n"/>
    </row>
    <row r="155">
      <c r="A155" s="18" t="n"/>
      <c r="B155" s="7" t="n"/>
      <c r="C155" s="7" t="n"/>
      <c r="D155" s="12">
        <f>IFERROR(INDEX(Produkte!$B$2:$B$301,MATCH(C155,Produkte!$A$2:$A$301,0)),"")</f>
        <v/>
      </c>
      <c r="E155" s="7" t="n"/>
      <c r="F155" s="7" t="n"/>
      <c r="G155" s="12">
        <f>IF(OR(E155="",F155=""),"",E155*F155/1000)</f>
        <v/>
      </c>
      <c r="H155" s="7" t="n"/>
      <c r="I155" s="7" t="n"/>
      <c r="J155" s="7" t="n"/>
      <c r="K155" s="7" t="n"/>
    </row>
    <row r="156">
      <c r="A156" s="18" t="n"/>
      <c r="B156" s="7" t="n"/>
      <c r="C156" s="7" t="n"/>
      <c r="D156" s="12">
        <f>IFERROR(INDEX(Produkte!$B$2:$B$301,MATCH(C156,Produkte!$A$2:$A$301,0)),"")</f>
        <v/>
      </c>
      <c r="E156" s="7" t="n"/>
      <c r="F156" s="7" t="n"/>
      <c r="G156" s="12">
        <f>IF(OR(E156="",F156=""),"",E156*F156/1000)</f>
        <v/>
      </c>
      <c r="H156" s="7" t="n"/>
      <c r="I156" s="7" t="n"/>
      <c r="J156" s="7" t="n"/>
      <c r="K156" s="7" t="n"/>
    </row>
    <row r="157">
      <c r="A157" s="18" t="n"/>
      <c r="B157" s="7" t="n"/>
      <c r="C157" s="7" t="n"/>
      <c r="D157" s="12">
        <f>IFERROR(INDEX(Produkte!$B$2:$B$301,MATCH(C157,Produkte!$A$2:$A$301,0)),"")</f>
        <v/>
      </c>
      <c r="E157" s="7" t="n"/>
      <c r="F157" s="7" t="n"/>
      <c r="G157" s="12">
        <f>IF(OR(E157="",F157=""),"",E157*F157/1000)</f>
        <v/>
      </c>
      <c r="H157" s="7" t="n"/>
      <c r="I157" s="7" t="n"/>
      <c r="J157" s="7" t="n"/>
      <c r="K157" s="7" t="n"/>
    </row>
    <row r="158">
      <c r="A158" s="18" t="n"/>
      <c r="B158" s="7" t="n"/>
      <c r="C158" s="7" t="n"/>
      <c r="D158" s="12">
        <f>IFERROR(INDEX(Produkte!$B$2:$B$301,MATCH(C158,Produkte!$A$2:$A$301,0)),"")</f>
        <v/>
      </c>
      <c r="E158" s="7" t="n"/>
      <c r="F158" s="7" t="n"/>
      <c r="G158" s="12">
        <f>IF(OR(E158="",F158=""),"",E158*F158/1000)</f>
        <v/>
      </c>
      <c r="H158" s="7" t="n"/>
      <c r="I158" s="7" t="n"/>
      <c r="J158" s="7" t="n"/>
      <c r="K158" s="7" t="n"/>
    </row>
    <row r="159">
      <c r="A159" s="18" t="n"/>
      <c r="B159" s="7" t="n"/>
      <c r="C159" s="7" t="n"/>
      <c r="D159" s="12">
        <f>IFERROR(INDEX(Produkte!$B$2:$B$301,MATCH(C159,Produkte!$A$2:$A$301,0)),"")</f>
        <v/>
      </c>
      <c r="E159" s="7" t="n"/>
      <c r="F159" s="7" t="n"/>
      <c r="G159" s="12">
        <f>IF(OR(E159="",F159=""),"",E159*F159/1000)</f>
        <v/>
      </c>
      <c r="H159" s="7" t="n"/>
      <c r="I159" s="7" t="n"/>
      <c r="J159" s="7" t="n"/>
      <c r="K159" s="7" t="n"/>
    </row>
    <row r="160">
      <c r="A160" s="18" t="n"/>
      <c r="B160" s="7" t="n"/>
      <c r="C160" s="7" t="n"/>
      <c r="D160" s="12">
        <f>IFERROR(INDEX(Produkte!$B$2:$B$301,MATCH(C160,Produkte!$A$2:$A$301,0)),"")</f>
        <v/>
      </c>
      <c r="E160" s="7" t="n"/>
      <c r="F160" s="7" t="n"/>
      <c r="G160" s="12">
        <f>IF(OR(E160="",F160=""),"",E160*F160/1000)</f>
        <v/>
      </c>
      <c r="H160" s="7" t="n"/>
      <c r="I160" s="7" t="n"/>
      <c r="J160" s="7" t="n"/>
      <c r="K160" s="7" t="n"/>
    </row>
    <row r="161">
      <c r="A161" s="18" t="n"/>
      <c r="B161" s="7" t="n"/>
      <c r="C161" s="7" t="n"/>
      <c r="D161" s="12">
        <f>IFERROR(INDEX(Produkte!$B$2:$B$301,MATCH(C161,Produkte!$A$2:$A$301,0)),"")</f>
        <v/>
      </c>
      <c r="E161" s="7" t="n"/>
      <c r="F161" s="7" t="n"/>
      <c r="G161" s="12">
        <f>IF(OR(E161="",F161=""),"",E161*F161/1000)</f>
        <v/>
      </c>
      <c r="H161" s="7" t="n"/>
      <c r="I161" s="7" t="n"/>
      <c r="J161" s="7" t="n"/>
      <c r="K161" s="7" t="n"/>
    </row>
    <row r="162">
      <c r="A162" s="18" t="n"/>
      <c r="B162" s="7" t="n"/>
      <c r="C162" s="7" t="n"/>
      <c r="D162" s="12">
        <f>IFERROR(INDEX(Produkte!$B$2:$B$301,MATCH(C162,Produkte!$A$2:$A$301,0)),"")</f>
        <v/>
      </c>
      <c r="E162" s="7" t="n"/>
      <c r="F162" s="7" t="n"/>
      <c r="G162" s="12">
        <f>IF(OR(E162="",F162=""),"",E162*F162/1000)</f>
        <v/>
      </c>
      <c r="H162" s="7" t="n"/>
      <c r="I162" s="7" t="n"/>
      <c r="J162" s="7" t="n"/>
      <c r="K162" s="7" t="n"/>
    </row>
    <row r="163">
      <c r="A163" s="18" t="n"/>
      <c r="B163" s="7" t="n"/>
      <c r="C163" s="7" t="n"/>
      <c r="D163" s="12">
        <f>IFERROR(INDEX(Produkte!$B$2:$B$301,MATCH(C163,Produkte!$A$2:$A$301,0)),"")</f>
        <v/>
      </c>
      <c r="E163" s="7" t="n"/>
      <c r="F163" s="7" t="n"/>
      <c r="G163" s="12">
        <f>IF(OR(E163="",F163=""),"",E163*F163/1000)</f>
        <v/>
      </c>
      <c r="H163" s="7" t="n"/>
      <c r="I163" s="7" t="n"/>
      <c r="J163" s="7" t="n"/>
      <c r="K163" s="7" t="n"/>
    </row>
    <row r="164">
      <c r="A164" s="18" t="n"/>
      <c r="B164" s="7" t="n"/>
      <c r="C164" s="7" t="n"/>
      <c r="D164" s="12">
        <f>IFERROR(INDEX(Produkte!$B$2:$B$301,MATCH(C164,Produkte!$A$2:$A$301,0)),"")</f>
        <v/>
      </c>
      <c r="E164" s="7" t="n"/>
      <c r="F164" s="7" t="n"/>
      <c r="G164" s="12">
        <f>IF(OR(E164="",F164=""),"",E164*F164/1000)</f>
        <v/>
      </c>
      <c r="H164" s="7" t="n"/>
      <c r="I164" s="7" t="n"/>
      <c r="J164" s="7" t="n"/>
      <c r="K164" s="7" t="n"/>
    </row>
    <row r="165">
      <c r="A165" s="18" t="n"/>
      <c r="B165" s="7" t="n"/>
      <c r="C165" s="7" t="n"/>
      <c r="D165" s="12">
        <f>IFERROR(INDEX(Produkte!$B$2:$B$301,MATCH(C165,Produkte!$A$2:$A$301,0)),"")</f>
        <v/>
      </c>
      <c r="E165" s="7" t="n"/>
      <c r="F165" s="7" t="n"/>
      <c r="G165" s="12">
        <f>IF(OR(E165="",F165=""),"",E165*F165/1000)</f>
        <v/>
      </c>
      <c r="H165" s="7" t="n"/>
      <c r="I165" s="7" t="n"/>
      <c r="J165" s="7" t="n"/>
      <c r="K165" s="7" t="n"/>
    </row>
    <row r="166">
      <c r="A166" s="18" t="n"/>
      <c r="B166" s="7" t="n"/>
      <c r="C166" s="7" t="n"/>
      <c r="D166" s="12">
        <f>IFERROR(INDEX(Produkte!$B$2:$B$301,MATCH(C166,Produkte!$A$2:$A$301,0)),"")</f>
        <v/>
      </c>
      <c r="E166" s="7" t="n"/>
      <c r="F166" s="7" t="n"/>
      <c r="G166" s="12">
        <f>IF(OR(E166="",F166=""),"",E166*F166/1000)</f>
        <v/>
      </c>
      <c r="H166" s="7" t="n"/>
      <c r="I166" s="7" t="n"/>
      <c r="J166" s="7" t="n"/>
      <c r="K166" s="7" t="n"/>
    </row>
    <row r="167">
      <c r="A167" s="18" t="n"/>
      <c r="B167" s="7" t="n"/>
      <c r="C167" s="7" t="n"/>
      <c r="D167" s="12">
        <f>IFERROR(INDEX(Produkte!$B$2:$B$301,MATCH(C167,Produkte!$A$2:$A$301,0)),"")</f>
        <v/>
      </c>
      <c r="E167" s="7" t="n"/>
      <c r="F167" s="7" t="n"/>
      <c r="G167" s="12">
        <f>IF(OR(E167="",F167=""),"",E167*F167/1000)</f>
        <v/>
      </c>
      <c r="H167" s="7" t="n"/>
      <c r="I167" s="7" t="n"/>
      <c r="J167" s="7" t="n"/>
      <c r="K167" s="7" t="n"/>
    </row>
    <row r="168">
      <c r="A168" s="18" t="n"/>
      <c r="B168" s="7" t="n"/>
      <c r="C168" s="7" t="n"/>
      <c r="D168" s="12">
        <f>IFERROR(INDEX(Produkte!$B$2:$B$301,MATCH(C168,Produkte!$A$2:$A$301,0)),"")</f>
        <v/>
      </c>
      <c r="E168" s="7" t="n"/>
      <c r="F168" s="7" t="n"/>
      <c r="G168" s="12">
        <f>IF(OR(E168="",F168=""),"",E168*F168/1000)</f>
        <v/>
      </c>
      <c r="H168" s="7" t="n"/>
      <c r="I168" s="7" t="n"/>
      <c r="J168" s="7" t="n"/>
      <c r="K168" s="7" t="n"/>
    </row>
    <row r="169">
      <c r="A169" s="18" t="n"/>
      <c r="B169" s="7" t="n"/>
      <c r="C169" s="7" t="n"/>
      <c r="D169" s="12">
        <f>IFERROR(INDEX(Produkte!$B$2:$B$301,MATCH(C169,Produkte!$A$2:$A$301,0)),"")</f>
        <v/>
      </c>
      <c r="E169" s="7" t="n"/>
      <c r="F169" s="7" t="n"/>
      <c r="G169" s="12">
        <f>IF(OR(E169="",F169=""),"",E169*F169/1000)</f>
        <v/>
      </c>
      <c r="H169" s="7" t="n"/>
      <c r="I169" s="7" t="n"/>
      <c r="J169" s="7" t="n"/>
      <c r="K169" s="7" t="n"/>
    </row>
    <row r="170">
      <c r="A170" s="18" t="n"/>
      <c r="B170" s="7" t="n"/>
      <c r="C170" s="7" t="n"/>
      <c r="D170" s="12">
        <f>IFERROR(INDEX(Produkte!$B$2:$B$301,MATCH(C170,Produkte!$A$2:$A$301,0)),"")</f>
        <v/>
      </c>
      <c r="E170" s="7" t="n"/>
      <c r="F170" s="7" t="n"/>
      <c r="G170" s="12">
        <f>IF(OR(E170="",F170=""),"",E170*F170/1000)</f>
        <v/>
      </c>
      <c r="H170" s="7" t="n"/>
      <c r="I170" s="7" t="n"/>
      <c r="J170" s="7" t="n"/>
      <c r="K170" s="7" t="n"/>
    </row>
    <row r="171">
      <c r="A171" s="18" t="n"/>
      <c r="B171" s="7" t="n"/>
      <c r="C171" s="7" t="n"/>
      <c r="D171" s="12">
        <f>IFERROR(INDEX(Produkte!$B$2:$B$301,MATCH(C171,Produkte!$A$2:$A$301,0)),"")</f>
        <v/>
      </c>
      <c r="E171" s="7" t="n"/>
      <c r="F171" s="7" t="n"/>
      <c r="G171" s="12">
        <f>IF(OR(E171="",F171=""),"",E171*F171/1000)</f>
        <v/>
      </c>
      <c r="H171" s="7" t="n"/>
      <c r="I171" s="7" t="n"/>
      <c r="J171" s="7" t="n"/>
      <c r="K171" s="7" t="n"/>
    </row>
    <row r="172">
      <c r="A172" s="18" t="n"/>
      <c r="B172" s="7" t="n"/>
      <c r="C172" s="7" t="n"/>
      <c r="D172" s="12">
        <f>IFERROR(INDEX(Produkte!$B$2:$B$301,MATCH(C172,Produkte!$A$2:$A$301,0)),"")</f>
        <v/>
      </c>
      <c r="E172" s="7" t="n"/>
      <c r="F172" s="7" t="n"/>
      <c r="G172" s="12">
        <f>IF(OR(E172="",F172=""),"",E172*F172/1000)</f>
        <v/>
      </c>
      <c r="H172" s="7" t="n"/>
      <c r="I172" s="7" t="n"/>
      <c r="J172" s="7" t="n"/>
      <c r="K172" s="7" t="n"/>
    </row>
    <row r="173">
      <c r="A173" s="18" t="n"/>
      <c r="B173" s="7" t="n"/>
      <c r="C173" s="7" t="n"/>
      <c r="D173" s="12">
        <f>IFERROR(INDEX(Produkte!$B$2:$B$301,MATCH(C173,Produkte!$A$2:$A$301,0)),"")</f>
        <v/>
      </c>
      <c r="E173" s="7" t="n"/>
      <c r="F173" s="7" t="n"/>
      <c r="G173" s="12">
        <f>IF(OR(E173="",F173=""),"",E173*F173/1000)</f>
        <v/>
      </c>
      <c r="H173" s="7" t="n"/>
      <c r="I173" s="7" t="n"/>
      <c r="J173" s="7" t="n"/>
      <c r="K173" s="7" t="n"/>
    </row>
    <row r="174">
      <c r="A174" s="18" t="n"/>
      <c r="B174" s="7" t="n"/>
      <c r="C174" s="7" t="n"/>
      <c r="D174" s="12">
        <f>IFERROR(INDEX(Produkte!$B$2:$B$301,MATCH(C174,Produkte!$A$2:$A$301,0)),"")</f>
        <v/>
      </c>
      <c r="E174" s="7" t="n"/>
      <c r="F174" s="7" t="n"/>
      <c r="G174" s="12">
        <f>IF(OR(E174="",F174=""),"",E174*F174/1000)</f>
        <v/>
      </c>
      <c r="H174" s="7" t="n"/>
      <c r="I174" s="7" t="n"/>
      <c r="J174" s="7" t="n"/>
      <c r="K174" s="7" t="n"/>
    </row>
    <row r="175">
      <c r="A175" s="18" t="n"/>
      <c r="B175" s="7" t="n"/>
      <c r="C175" s="7" t="n"/>
      <c r="D175" s="12">
        <f>IFERROR(INDEX(Produkte!$B$2:$B$301,MATCH(C175,Produkte!$A$2:$A$301,0)),"")</f>
        <v/>
      </c>
      <c r="E175" s="7" t="n"/>
      <c r="F175" s="7" t="n"/>
      <c r="G175" s="12">
        <f>IF(OR(E175="",F175=""),"",E175*F175/1000)</f>
        <v/>
      </c>
      <c r="H175" s="7" t="n"/>
      <c r="I175" s="7" t="n"/>
      <c r="J175" s="7" t="n"/>
      <c r="K175" s="7" t="n"/>
    </row>
    <row r="176">
      <c r="A176" s="18" t="n"/>
      <c r="B176" s="7" t="n"/>
      <c r="C176" s="7" t="n"/>
      <c r="D176" s="12">
        <f>IFERROR(INDEX(Produkte!$B$2:$B$301,MATCH(C176,Produkte!$A$2:$A$301,0)),"")</f>
        <v/>
      </c>
      <c r="E176" s="7" t="n"/>
      <c r="F176" s="7" t="n"/>
      <c r="G176" s="12">
        <f>IF(OR(E176="",F176=""),"",E176*F176/1000)</f>
        <v/>
      </c>
      <c r="H176" s="7" t="n"/>
      <c r="I176" s="7" t="n"/>
      <c r="J176" s="7" t="n"/>
      <c r="K176" s="7" t="n"/>
    </row>
    <row r="177">
      <c r="A177" s="18" t="n"/>
      <c r="B177" s="7" t="n"/>
      <c r="C177" s="7" t="n"/>
      <c r="D177" s="12">
        <f>IFERROR(INDEX(Produkte!$B$2:$B$301,MATCH(C177,Produkte!$A$2:$A$301,0)),"")</f>
        <v/>
      </c>
      <c r="E177" s="7" t="n"/>
      <c r="F177" s="7" t="n"/>
      <c r="G177" s="12">
        <f>IF(OR(E177="",F177=""),"",E177*F177/1000)</f>
        <v/>
      </c>
      <c r="H177" s="7" t="n"/>
      <c r="I177" s="7" t="n"/>
      <c r="J177" s="7" t="n"/>
      <c r="K177" s="7" t="n"/>
    </row>
    <row r="178">
      <c r="A178" s="18" t="n"/>
      <c r="B178" s="7" t="n"/>
      <c r="C178" s="7" t="n"/>
      <c r="D178" s="12">
        <f>IFERROR(INDEX(Produkte!$B$2:$B$301,MATCH(C178,Produkte!$A$2:$A$301,0)),"")</f>
        <v/>
      </c>
      <c r="E178" s="7" t="n"/>
      <c r="F178" s="7" t="n"/>
      <c r="G178" s="12">
        <f>IF(OR(E178="",F178=""),"",E178*F178/1000)</f>
        <v/>
      </c>
      <c r="H178" s="7" t="n"/>
      <c r="I178" s="7" t="n"/>
      <c r="J178" s="7" t="n"/>
      <c r="K178" s="7" t="n"/>
    </row>
    <row r="179">
      <c r="A179" s="18" t="n"/>
      <c r="B179" s="7" t="n"/>
      <c r="C179" s="7" t="n"/>
      <c r="D179" s="12">
        <f>IFERROR(INDEX(Produkte!$B$2:$B$301,MATCH(C179,Produkte!$A$2:$A$301,0)),"")</f>
        <v/>
      </c>
      <c r="E179" s="7" t="n"/>
      <c r="F179" s="7" t="n"/>
      <c r="G179" s="12">
        <f>IF(OR(E179="",F179=""),"",E179*F179/1000)</f>
        <v/>
      </c>
      <c r="H179" s="7" t="n"/>
      <c r="I179" s="7" t="n"/>
      <c r="J179" s="7" t="n"/>
      <c r="K179" s="7" t="n"/>
    </row>
    <row r="180">
      <c r="A180" s="18" t="n"/>
      <c r="B180" s="7" t="n"/>
      <c r="C180" s="7" t="n"/>
      <c r="D180" s="12">
        <f>IFERROR(INDEX(Produkte!$B$2:$B$301,MATCH(C180,Produkte!$A$2:$A$301,0)),"")</f>
        <v/>
      </c>
      <c r="E180" s="7" t="n"/>
      <c r="F180" s="7" t="n"/>
      <c r="G180" s="12">
        <f>IF(OR(E180="",F180=""),"",E180*F180/1000)</f>
        <v/>
      </c>
      <c r="H180" s="7" t="n"/>
      <c r="I180" s="7" t="n"/>
      <c r="J180" s="7" t="n"/>
      <c r="K180" s="7" t="n"/>
    </row>
    <row r="181">
      <c r="A181" s="18" t="n"/>
      <c r="B181" s="7" t="n"/>
      <c r="C181" s="7" t="n"/>
      <c r="D181" s="12">
        <f>IFERROR(INDEX(Produkte!$B$2:$B$301,MATCH(C181,Produkte!$A$2:$A$301,0)),"")</f>
        <v/>
      </c>
      <c r="E181" s="7" t="n"/>
      <c r="F181" s="7" t="n"/>
      <c r="G181" s="12">
        <f>IF(OR(E181="",F181=""),"",E181*F181/1000)</f>
        <v/>
      </c>
      <c r="H181" s="7" t="n"/>
      <c r="I181" s="7" t="n"/>
      <c r="J181" s="7" t="n"/>
      <c r="K181" s="7" t="n"/>
    </row>
    <row r="182">
      <c r="A182" s="18" t="n"/>
      <c r="B182" s="7" t="n"/>
      <c r="C182" s="7" t="n"/>
      <c r="D182" s="12">
        <f>IFERROR(INDEX(Produkte!$B$2:$B$301,MATCH(C182,Produkte!$A$2:$A$301,0)),"")</f>
        <v/>
      </c>
      <c r="E182" s="7" t="n"/>
      <c r="F182" s="7" t="n"/>
      <c r="G182" s="12">
        <f>IF(OR(E182="",F182=""),"",E182*F182/1000)</f>
        <v/>
      </c>
      <c r="H182" s="7" t="n"/>
      <c r="I182" s="7" t="n"/>
      <c r="J182" s="7" t="n"/>
      <c r="K182" s="7" t="n"/>
    </row>
    <row r="183">
      <c r="A183" s="18" t="n"/>
      <c r="B183" s="7" t="n"/>
      <c r="C183" s="7" t="n"/>
      <c r="D183" s="12">
        <f>IFERROR(INDEX(Produkte!$B$2:$B$301,MATCH(C183,Produkte!$A$2:$A$301,0)),"")</f>
        <v/>
      </c>
      <c r="E183" s="7" t="n"/>
      <c r="F183" s="7" t="n"/>
      <c r="G183" s="12">
        <f>IF(OR(E183="",F183=""),"",E183*F183/1000)</f>
        <v/>
      </c>
      <c r="H183" s="7" t="n"/>
      <c r="I183" s="7" t="n"/>
      <c r="J183" s="7" t="n"/>
      <c r="K183" s="7" t="n"/>
    </row>
    <row r="184">
      <c r="A184" s="18" t="n"/>
      <c r="B184" s="7" t="n"/>
      <c r="C184" s="7" t="n"/>
      <c r="D184" s="12">
        <f>IFERROR(INDEX(Produkte!$B$2:$B$301,MATCH(C184,Produkte!$A$2:$A$301,0)),"")</f>
        <v/>
      </c>
      <c r="E184" s="7" t="n"/>
      <c r="F184" s="7" t="n"/>
      <c r="G184" s="12">
        <f>IF(OR(E184="",F184=""),"",E184*F184/1000)</f>
        <v/>
      </c>
      <c r="H184" s="7" t="n"/>
      <c r="I184" s="7" t="n"/>
      <c r="J184" s="7" t="n"/>
      <c r="K184" s="7" t="n"/>
    </row>
    <row r="185">
      <c r="A185" s="18" t="n"/>
      <c r="B185" s="7" t="n"/>
      <c r="C185" s="7" t="n"/>
      <c r="D185" s="12">
        <f>IFERROR(INDEX(Produkte!$B$2:$B$301,MATCH(C185,Produkte!$A$2:$A$301,0)),"")</f>
        <v/>
      </c>
      <c r="E185" s="7" t="n"/>
      <c r="F185" s="7" t="n"/>
      <c r="G185" s="12">
        <f>IF(OR(E185="",F185=""),"",E185*F185/1000)</f>
        <v/>
      </c>
      <c r="H185" s="7" t="n"/>
      <c r="I185" s="7" t="n"/>
      <c r="J185" s="7" t="n"/>
      <c r="K185" s="7" t="n"/>
    </row>
    <row r="186">
      <c r="A186" s="18" t="n"/>
      <c r="B186" s="7" t="n"/>
      <c r="C186" s="7" t="n"/>
      <c r="D186" s="12">
        <f>IFERROR(INDEX(Produkte!$B$2:$B$301,MATCH(C186,Produkte!$A$2:$A$301,0)),"")</f>
        <v/>
      </c>
      <c r="E186" s="7" t="n"/>
      <c r="F186" s="7" t="n"/>
      <c r="G186" s="12">
        <f>IF(OR(E186="",F186=""),"",E186*F186/1000)</f>
        <v/>
      </c>
      <c r="H186" s="7" t="n"/>
      <c r="I186" s="7" t="n"/>
      <c r="J186" s="7" t="n"/>
      <c r="K186" s="7" t="n"/>
    </row>
    <row r="187">
      <c r="A187" s="18" t="n"/>
      <c r="B187" s="7" t="n"/>
      <c r="C187" s="7" t="n"/>
      <c r="D187" s="12">
        <f>IFERROR(INDEX(Produkte!$B$2:$B$301,MATCH(C187,Produkte!$A$2:$A$301,0)),"")</f>
        <v/>
      </c>
      <c r="E187" s="7" t="n"/>
      <c r="F187" s="7" t="n"/>
      <c r="G187" s="12">
        <f>IF(OR(E187="",F187=""),"",E187*F187/1000)</f>
        <v/>
      </c>
      <c r="H187" s="7" t="n"/>
      <c r="I187" s="7" t="n"/>
      <c r="J187" s="7" t="n"/>
      <c r="K187" s="7" t="n"/>
    </row>
    <row r="188">
      <c r="A188" s="18" t="n"/>
      <c r="B188" s="7" t="n"/>
      <c r="C188" s="7" t="n"/>
      <c r="D188" s="12">
        <f>IFERROR(INDEX(Produkte!$B$2:$B$301,MATCH(C188,Produkte!$A$2:$A$301,0)),"")</f>
        <v/>
      </c>
      <c r="E188" s="7" t="n"/>
      <c r="F188" s="7" t="n"/>
      <c r="G188" s="12">
        <f>IF(OR(E188="",F188=""),"",E188*F188/1000)</f>
        <v/>
      </c>
      <c r="H188" s="7" t="n"/>
      <c r="I188" s="7" t="n"/>
      <c r="J188" s="7" t="n"/>
      <c r="K188" s="7" t="n"/>
    </row>
    <row r="189">
      <c r="A189" s="18" t="n"/>
      <c r="B189" s="7" t="n"/>
      <c r="C189" s="7" t="n"/>
      <c r="D189" s="12">
        <f>IFERROR(INDEX(Produkte!$B$2:$B$301,MATCH(C189,Produkte!$A$2:$A$301,0)),"")</f>
        <v/>
      </c>
      <c r="E189" s="7" t="n"/>
      <c r="F189" s="7" t="n"/>
      <c r="G189" s="12">
        <f>IF(OR(E189="",F189=""),"",E189*F189/1000)</f>
        <v/>
      </c>
      <c r="H189" s="7" t="n"/>
      <c r="I189" s="7" t="n"/>
      <c r="J189" s="7" t="n"/>
      <c r="K189" s="7" t="n"/>
    </row>
    <row r="190">
      <c r="A190" s="18" t="n"/>
      <c r="B190" s="7" t="n"/>
      <c r="C190" s="7" t="n"/>
      <c r="D190" s="12">
        <f>IFERROR(INDEX(Produkte!$B$2:$B$301,MATCH(C190,Produkte!$A$2:$A$301,0)),"")</f>
        <v/>
      </c>
      <c r="E190" s="7" t="n"/>
      <c r="F190" s="7" t="n"/>
      <c r="G190" s="12">
        <f>IF(OR(E190="",F190=""),"",E190*F190/1000)</f>
        <v/>
      </c>
      <c r="H190" s="7" t="n"/>
      <c r="I190" s="7" t="n"/>
      <c r="J190" s="7" t="n"/>
      <c r="K190" s="7" t="n"/>
    </row>
    <row r="191">
      <c r="A191" s="18" t="n"/>
      <c r="B191" s="7" t="n"/>
      <c r="C191" s="7" t="n"/>
      <c r="D191" s="12">
        <f>IFERROR(INDEX(Produkte!$B$2:$B$301,MATCH(C191,Produkte!$A$2:$A$301,0)),"")</f>
        <v/>
      </c>
      <c r="E191" s="7" t="n"/>
      <c r="F191" s="7" t="n"/>
      <c r="G191" s="12">
        <f>IF(OR(E191="",F191=""),"",E191*F191/1000)</f>
        <v/>
      </c>
      <c r="H191" s="7" t="n"/>
      <c r="I191" s="7" t="n"/>
      <c r="J191" s="7" t="n"/>
      <c r="K191" s="7" t="n"/>
    </row>
    <row r="192">
      <c r="A192" s="18" t="n"/>
      <c r="B192" s="7" t="n"/>
      <c r="C192" s="7" t="n"/>
      <c r="D192" s="12">
        <f>IFERROR(INDEX(Produkte!$B$2:$B$301,MATCH(C192,Produkte!$A$2:$A$301,0)),"")</f>
        <v/>
      </c>
      <c r="E192" s="7" t="n"/>
      <c r="F192" s="7" t="n"/>
      <c r="G192" s="12">
        <f>IF(OR(E192="",F192=""),"",E192*F192/1000)</f>
        <v/>
      </c>
      <c r="H192" s="7" t="n"/>
      <c r="I192" s="7" t="n"/>
      <c r="J192" s="7" t="n"/>
      <c r="K192" s="7" t="n"/>
    </row>
    <row r="193">
      <c r="A193" s="18" t="n"/>
      <c r="B193" s="7" t="n"/>
      <c r="C193" s="7" t="n"/>
      <c r="D193" s="12">
        <f>IFERROR(INDEX(Produkte!$B$2:$B$301,MATCH(C193,Produkte!$A$2:$A$301,0)),"")</f>
        <v/>
      </c>
      <c r="E193" s="7" t="n"/>
      <c r="F193" s="7" t="n"/>
      <c r="G193" s="12">
        <f>IF(OR(E193="",F193=""),"",E193*F193/1000)</f>
        <v/>
      </c>
      <c r="H193" s="7" t="n"/>
      <c r="I193" s="7" t="n"/>
      <c r="J193" s="7" t="n"/>
      <c r="K193" s="7" t="n"/>
    </row>
    <row r="194">
      <c r="A194" s="18" t="n"/>
      <c r="B194" s="7" t="n"/>
      <c r="C194" s="7" t="n"/>
      <c r="D194" s="12">
        <f>IFERROR(INDEX(Produkte!$B$2:$B$301,MATCH(C194,Produkte!$A$2:$A$301,0)),"")</f>
        <v/>
      </c>
      <c r="E194" s="7" t="n"/>
      <c r="F194" s="7" t="n"/>
      <c r="G194" s="12">
        <f>IF(OR(E194="",F194=""),"",E194*F194/1000)</f>
        <v/>
      </c>
      <c r="H194" s="7" t="n"/>
      <c r="I194" s="7" t="n"/>
      <c r="J194" s="7" t="n"/>
      <c r="K194" s="7" t="n"/>
    </row>
    <row r="195">
      <c r="A195" s="18" t="n"/>
      <c r="B195" s="7" t="n"/>
      <c r="C195" s="7" t="n"/>
      <c r="D195" s="12">
        <f>IFERROR(INDEX(Produkte!$B$2:$B$301,MATCH(C195,Produkte!$A$2:$A$301,0)),"")</f>
        <v/>
      </c>
      <c r="E195" s="7" t="n"/>
      <c r="F195" s="7" t="n"/>
      <c r="G195" s="12">
        <f>IF(OR(E195="",F195=""),"",E195*F195/1000)</f>
        <v/>
      </c>
      <c r="H195" s="7" t="n"/>
      <c r="I195" s="7" t="n"/>
      <c r="J195" s="7" t="n"/>
      <c r="K195" s="7" t="n"/>
    </row>
    <row r="196">
      <c r="A196" s="18" t="n"/>
      <c r="B196" s="7" t="n"/>
      <c r="C196" s="7" t="n"/>
      <c r="D196" s="12">
        <f>IFERROR(INDEX(Produkte!$B$2:$B$301,MATCH(C196,Produkte!$A$2:$A$301,0)),"")</f>
        <v/>
      </c>
      <c r="E196" s="7" t="n"/>
      <c r="F196" s="7" t="n"/>
      <c r="G196" s="12">
        <f>IF(OR(E196="",F196=""),"",E196*F196/1000)</f>
        <v/>
      </c>
      <c r="H196" s="7" t="n"/>
      <c r="I196" s="7" t="n"/>
      <c r="J196" s="7" t="n"/>
      <c r="K196" s="7" t="n"/>
    </row>
    <row r="197">
      <c r="A197" s="18" t="n"/>
      <c r="B197" s="7" t="n"/>
      <c r="C197" s="7" t="n"/>
      <c r="D197" s="12">
        <f>IFERROR(INDEX(Produkte!$B$2:$B$301,MATCH(C197,Produkte!$A$2:$A$301,0)),"")</f>
        <v/>
      </c>
      <c r="E197" s="7" t="n"/>
      <c r="F197" s="7" t="n"/>
      <c r="G197" s="12">
        <f>IF(OR(E197="",F197=""),"",E197*F197/1000)</f>
        <v/>
      </c>
      <c r="H197" s="7" t="n"/>
      <c r="I197" s="7" t="n"/>
      <c r="J197" s="7" t="n"/>
      <c r="K197" s="7" t="n"/>
    </row>
    <row r="198">
      <c r="A198" s="18" t="n"/>
      <c r="B198" s="7" t="n"/>
      <c r="C198" s="7" t="n"/>
      <c r="D198" s="12">
        <f>IFERROR(INDEX(Produkte!$B$2:$B$301,MATCH(C198,Produkte!$A$2:$A$301,0)),"")</f>
        <v/>
      </c>
      <c r="E198" s="7" t="n"/>
      <c r="F198" s="7" t="n"/>
      <c r="G198" s="12">
        <f>IF(OR(E198="",F198=""),"",E198*F198/1000)</f>
        <v/>
      </c>
      <c r="H198" s="7" t="n"/>
      <c r="I198" s="7" t="n"/>
      <c r="J198" s="7" t="n"/>
      <c r="K198" s="7" t="n"/>
    </row>
    <row r="199">
      <c r="A199" s="18" t="n"/>
      <c r="B199" s="7" t="n"/>
      <c r="C199" s="7" t="n"/>
      <c r="D199" s="12">
        <f>IFERROR(INDEX(Produkte!$B$2:$B$301,MATCH(C199,Produkte!$A$2:$A$301,0)),"")</f>
        <v/>
      </c>
      <c r="E199" s="7" t="n"/>
      <c r="F199" s="7" t="n"/>
      <c r="G199" s="12">
        <f>IF(OR(E199="",F199=""),"",E199*F199/1000)</f>
        <v/>
      </c>
      <c r="H199" s="7" t="n"/>
      <c r="I199" s="7" t="n"/>
      <c r="J199" s="7" t="n"/>
      <c r="K199" s="7" t="n"/>
    </row>
    <row r="200">
      <c r="A200" s="18" t="n"/>
      <c r="B200" s="7" t="n"/>
      <c r="C200" s="7" t="n"/>
      <c r="D200" s="12">
        <f>IFERROR(INDEX(Produkte!$B$2:$B$301,MATCH(C200,Produkte!$A$2:$A$301,0)),"")</f>
        <v/>
      </c>
      <c r="E200" s="7" t="n"/>
      <c r="F200" s="7" t="n"/>
      <c r="G200" s="12">
        <f>IF(OR(E200="",F200=""),"",E200*F200/1000)</f>
        <v/>
      </c>
      <c r="H200" s="7" t="n"/>
      <c r="I200" s="7" t="n"/>
      <c r="J200" s="7" t="n"/>
      <c r="K200" s="7" t="n"/>
    </row>
    <row r="201">
      <c r="A201" s="18" t="n"/>
      <c r="B201" s="7" t="n"/>
      <c r="C201" s="7" t="n"/>
      <c r="D201" s="12">
        <f>IFERROR(INDEX(Produkte!$B$2:$B$301,MATCH(C201,Produkte!$A$2:$A$301,0)),"")</f>
        <v/>
      </c>
      <c r="E201" s="7" t="n"/>
      <c r="F201" s="7" t="n"/>
      <c r="G201" s="12">
        <f>IF(OR(E201="",F201=""),"",E201*F201/1000)</f>
        <v/>
      </c>
      <c r="H201" s="7" t="n"/>
      <c r="I201" s="7" t="n"/>
      <c r="J201" s="7" t="n"/>
      <c r="K201" s="7" t="n"/>
    </row>
    <row r="202">
      <c r="A202" s="18" t="n"/>
      <c r="B202" s="7" t="n"/>
      <c r="C202" s="7" t="n"/>
      <c r="D202" s="12">
        <f>IFERROR(INDEX(Produkte!$B$2:$B$301,MATCH(C202,Produkte!$A$2:$A$301,0)),"")</f>
        <v/>
      </c>
      <c r="E202" s="7" t="n"/>
      <c r="F202" s="7" t="n"/>
      <c r="G202" s="12">
        <f>IF(OR(E202="",F202=""),"",E202*F202/1000)</f>
        <v/>
      </c>
      <c r="H202" s="7" t="n"/>
      <c r="I202" s="7" t="n"/>
      <c r="J202" s="7" t="n"/>
      <c r="K202" s="7" t="n"/>
    </row>
    <row r="203">
      <c r="A203" s="18" t="n"/>
      <c r="B203" s="7" t="n"/>
      <c r="C203" s="7" t="n"/>
      <c r="D203" s="12">
        <f>IFERROR(INDEX(Produkte!$B$2:$B$301,MATCH(C203,Produkte!$A$2:$A$301,0)),"")</f>
        <v/>
      </c>
      <c r="E203" s="7" t="n"/>
      <c r="F203" s="7" t="n"/>
      <c r="G203" s="12">
        <f>IF(OR(E203="",F203=""),"",E203*F203/1000)</f>
        <v/>
      </c>
      <c r="H203" s="7" t="n"/>
      <c r="I203" s="7" t="n"/>
      <c r="J203" s="7" t="n"/>
      <c r="K203" s="7" t="n"/>
    </row>
    <row r="204">
      <c r="A204" s="18" t="n"/>
      <c r="B204" s="7" t="n"/>
      <c r="C204" s="7" t="n"/>
      <c r="D204" s="12">
        <f>IFERROR(INDEX(Produkte!$B$2:$B$301,MATCH(C204,Produkte!$A$2:$A$301,0)),"")</f>
        <v/>
      </c>
      <c r="E204" s="7" t="n"/>
      <c r="F204" s="7" t="n"/>
      <c r="G204" s="12">
        <f>IF(OR(E204="",F204=""),"",E204*F204/1000)</f>
        <v/>
      </c>
      <c r="H204" s="7" t="n"/>
      <c r="I204" s="7" t="n"/>
      <c r="J204" s="7" t="n"/>
      <c r="K204" s="7" t="n"/>
    </row>
    <row r="205">
      <c r="A205" s="18" t="n"/>
      <c r="B205" s="7" t="n"/>
      <c r="C205" s="7" t="n"/>
      <c r="D205" s="12">
        <f>IFERROR(INDEX(Produkte!$B$2:$B$301,MATCH(C205,Produkte!$A$2:$A$301,0)),"")</f>
        <v/>
      </c>
      <c r="E205" s="7" t="n"/>
      <c r="F205" s="7" t="n"/>
      <c r="G205" s="12">
        <f>IF(OR(E205="",F205=""),"",E205*F205/1000)</f>
        <v/>
      </c>
      <c r="H205" s="7" t="n"/>
      <c r="I205" s="7" t="n"/>
      <c r="J205" s="7" t="n"/>
      <c r="K205" s="7" t="n"/>
    </row>
    <row r="206">
      <c r="A206" s="18" t="n"/>
      <c r="B206" s="7" t="n"/>
      <c r="C206" s="7" t="n"/>
      <c r="D206" s="12">
        <f>IFERROR(INDEX(Produkte!$B$2:$B$301,MATCH(C206,Produkte!$A$2:$A$301,0)),"")</f>
        <v/>
      </c>
      <c r="E206" s="7" t="n"/>
      <c r="F206" s="7" t="n"/>
      <c r="G206" s="12">
        <f>IF(OR(E206="",F206=""),"",E206*F206/1000)</f>
        <v/>
      </c>
      <c r="H206" s="7" t="n"/>
      <c r="I206" s="7" t="n"/>
      <c r="J206" s="7" t="n"/>
      <c r="K206" s="7" t="n"/>
    </row>
    <row r="207">
      <c r="A207" s="18" t="n"/>
      <c r="B207" s="7" t="n"/>
      <c r="C207" s="7" t="n"/>
      <c r="D207" s="12">
        <f>IFERROR(INDEX(Produkte!$B$2:$B$301,MATCH(C207,Produkte!$A$2:$A$301,0)),"")</f>
        <v/>
      </c>
      <c r="E207" s="7" t="n"/>
      <c r="F207" s="7" t="n"/>
      <c r="G207" s="12">
        <f>IF(OR(E207="",F207=""),"",E207*F207/1000)</f>
        <v/>
      </c>
      <c r="H207" s="7" t="n"/>
      <c r="I207" s="7" t="n"/>
      <c r="J207" s="7" t="n"/>
      <c r="K207" s="7" t="n"/>
    </row>
    <row r="208">
      <c r="A208" s="18" t="n"/>
      <c r="B208" s="7" t="n"/>
      <c r="C208" s="7" t="n"/>
      <c r="D208" s="12">
        <f>IFERROR(INDEX(Produkte!$B$2:$B$301,MATCH(C208,Produkte!$A$2:$A$301,0)),"")</f>
        <v/>
      </c>
      <c r="E208" s="7" t="n"/>
      <c r="F208" s="7" t="n"/>
      <c r="G208" s="12">
        <f>IF(OR(E208="",F208=""),"",E208*F208/1000)</f>
        <v/>
      </c>
      <c r="H208" s="7" t="n"/>
      <c r="I208" s="7" t="n"/>
      <c r="J208" s="7" t="n"/>
      <c r="K208" s="7" t="n"/>
    </row>
    <row r="209">
      <c r="A209" s="18" t="n"/>
      <c r="B209" s="7" t="n"/>
      <c r="C209" s="7" t="n"/>
      <c r="D209" s="12">
        <f>IFERROR(INDEX(Produkte!$B$2:$B$301,MATCH(C209,Produkte!$A$2:$A$301,0)),"")</f>
        <v/>
      </c>
      <c r="E209" s="7" t="n"/>
      <c r="F209" s="7" t="n"/>
      <c r="G209" s="12">
        <f>IF(OR(E209="",F209=""),"",E209*F209/1000)</f>
        <v/>
      </c>
      <c r="H209" s="7" t="n"/>
      <c r="I209" s="7" t="n"/>
      <c r="J209" s="7" t="n"/>
      <c r="K209" s="7" t="n"/>
    </row>
    <row r="210">
      <c r="A210" s="18" t="n"/>
      <c r="B210" s="7" t="n"/>
      <c r="C210" s="7" t="n"/>
      <c r="D210" s="12">
        <f>IFERROR(INDEX(Produkte!$B$2:$B$301,MATCH(C210,Produkte!$A$2:$A$301,0)),"")</f>
        <v/>
      </c>
      <c r="E210" s="7" t="n"/>
      <c r="F210" s="7" t="n"/>
      <c r="G210" s="12">
        <f>IF(OR(E210="",F210=""),"",E210*F210/1000)</f>
        <v/>
      </c>
      <c r="H210" s="7" t="n"/>
      <c r="I210" s="7" t="n"/>
      <c r="J210" s="7" t="n"/>
      <c r="K210" s="7" t="n"/>
    </row>
    <row r="211">
      <c r="A211" s="18" t="n"/>
      <c r="B211" s="7" t="n"/>
      <c r="C211" s="7" t="n"/>
      <c r="D211" s="12">
        <f>IFERROR(INDEX(Produkte!$B$2:$B$301,MATCH(C211,Produkte!$A$2:$A$301,0)),"")</f>
        <v/>
      </c>
      <c r="E211" s="7" t="n"/>
      <c r="F211" s="7" t="n"/>
      <c r="G211" s="12">
        <f>IF(OR(E211="",F211=""),"",E211*F211/1000)</f>
        <v/>
      </c>
      <c r="H211" s="7" t="n"/>
      <c r="I211" s="7" t="n"/>
      <c r="J211" s="7" t="n"/>
      <c r="K211" s="7" t="n"/>
    </row>
    <row r="212">
      <c r="A212" s="18" t="n"/>
      <c r="B212" s="7" t="n"/>
      <c r="C212" s="7" t="n"/>
      <c r="D212" s="12">
        <f>IFERROR(INDEX(Produkte!$B$2:$B$301,MATCH(C212,Produkte!$A$2:$A$301,0)),"")</f>
        <v/>
      </c>
      <c r="E212" s="7" t="n"/>
      <c r="F212" s="7" t="n"/>
      <c r="G212" s="12">
        <f>IF(OR(E212="",F212=""),"",E212*F212/1000)</f>
        <v/>
      </c>
      <c r="H212" s="7" t="n"/>
      <c r="I212" s="7" t="n"/>
      <c r="J212" s="7" t="n"/>
      <c r="K212" s="7" t="n"/>
    </row>
    <row r="213">
      <c r="A213" s="18" t="n"/>
      <c r="B213" s="7" t="n"/>
      <c r="C213" s="7" t="n"/>
      <c r="D213" s="12">
        <f>IFERROR(INDEX(Produkte!$B$2:$B$301,MATCH(C213,Produkte!$A$2:$A$301,0)),"")</f>
        <v/>
      </c>
      <c r="E213" s="7" t="n"/>
      <c r="F213" s="7" t="n"/>
      <c r="G213" s="12">
        <f>IF(OR(E213="",F213=""),"",E213*F213/1000)</f>
        <v/>
      </c>
      <c r="H213" s="7" t="n"/>
      <c r="I213" s="7" t="n"/>
      <c r="J213" s="7" t="n"/>
      <c r="K213" s="7" t="n"/>
    </row>
    <row r="214">
      <c r="A214" s="18" t="n"/>
      <c r="B214" s="7" t="n"/>
      <c r="C214" s="7" t="n"/>
      <c r="D214" s="12">
        <f>IFERROR(INDEX(Produkte!$B$2:$B$301,MATCH(C214,Produkte!$A$2:$A$301,0)),"")</f>
        <v/>
      </c>
      <c r="E214" s="7" t="n"/>
      <c r="F214" s="7" t="n"/>
      <c r="G214" s="12">
        <f>IF(OR(E214="",F214=""),"",E214*F214/1000)</f>
        <v/>
      </c>
      <c r="H214" s="7" t="n"/>
      <c r="I214" s="7" t="n"/>
      <c r="J214" s="7" t="n"/>
      <c r="K214" s="7" t="n"/>
    </row>
    <row r="215">
      <c r="A215" s="18" t="n"/>
      <c r="B215" s="7" t="n"/>
      <c r="C215" s="7" t="n"/>
      <c r="D215" s="12">
        <f>IFERROR(INDEX(Produkte!$B$2:$B$301,MATCH(C215,Produkte!$A$2:$A$301,0)),"")</f>
        <v/>
      </c>
      <c r="E215" s="7" t="n"/>
      <c r="F215" s="7" t="n"/>
      <c r="G215" s="12">
        <f>IF(OR(E215="",F215=""),"",E215*F215/1000)</f>
        <v/>
      </c>
      <c r="H215" s="7" t="n"/>
      <c r="I215" s="7" t="n"/>
      <c r="J215" s="7" t="n"/>
      <c r="K215" s="7" t="n"/>
    </row>
    <row r="216">
      <c r="A216" s="18" t="n"/>
      <c r="B216" s="7" t="n"/>
      <c r="C216" s="7" t="n"/>
      <c r="D216" s="12">
        <f>IFERROR(INDEX(Produkte!$B$2:$B$301,MATCH(C216,Produkte!$A$2:$A$301,0)),"")</f>
        <v/>
      </c>
      <c r="E216" s="7" t="n"/>
      <c r="F216" s="7" t="n"/>
      <c r="G216" s="12">
        <f>IF(OR(E216="",F216=""),"",E216*F216/1000)</f>
        <v/>
      </c>
      <c r="H216" s="7" t="n"/>
      <c r="I216" s="7" t="n"/>
      <c r="J216" s="7" t="n"/>
      <c r="K216" s="7" t="n"/>
    </row>
    <row r="217">
      <c r="A217" s="18" t="n"/>
      <c r="B217" s="7" t="n"/>
      <c r="C217" s="7" t="n"/>
      <c r="D217" s="12">
        <f>IFERROR(INDEX(Produkte!$B$2:$B$301,MATCH(C217,Produkte!$A$2:$A$301,0)),"")</f>
        <v/>
      </c>
      <c r="E217" s="7" t="n"/>
      <c r="F217" s="7" t="n"/>
      <c r="G217" s="12">
        <f>IF(OR(E217="",F217=""),"",E217*F217/1000)</f>
        <v/>
      </c>
      <c r="H217" s="7" t="n"/>
      <c r="I217" s="7" t="n"/>
      <c r="J217" s="7" t="n"/>
      <c r="K217" s="7" t="n"/>
    </row>
    <row r="218">
      <c r="A218" s="18" t="n"/>
      <c r="B218" s="7" t="n"/>
      <c r="C218" s="7" t="n"/>
      <c r="D218" s="12">
        <f>IFERROR(INDEX(Produkte!$B$2:$B$301,MATCH(C218,Produkte!$A$2:$A$301,0)),"")</f>
        <v/>
      </c>
      <c r="E218" s="7" t="n"/>
      <c r="F218" s="7" t="n"/>
      <c r="G218" s="12">
        <f>IF(OR(E218="",F218=""),"",E218*F218/1000)</f>
        <v/>
      </c>
      <c r="H218" s="7" t="n"/>
      <c r="I218" s="7" t="n"/>
      <c r="J218" s="7" t="n"/>
      <c r="K218" s="7" t="n"/>
    </row>
    <row r="219">
      <c r="A219" s="18" t="n"/>
      <c r="B219" s="7" t="n"/>
      <c r="C219" s="7" t="n"/>
      <c r="D219" s="12">
        <f>IFERROR(INDEX(Produkte!$B$2:$B$301,MATCH(C219,Produkte!$A$2:$A$301,0)),"")</f>
        <v/>
      </c>
      <c r="E219" s="7" t="n"/>
      <c r="F219" s="7" t="n"/>
      <c r="G219" s="12">
        <f>IF(OR(E219="",F219=""),"",E219*F219/1000)</f>
        <v/>
      </c>
      <c r="H219" s="7" t="n"/>
      <c r="I219" s="7" t="n"/>
      <c r="J219" s="7" t="n"/>
      <c r="K219" s="7" t="n"/>
    </row>
    <row r="220">
      <c r="A220" s="18" t="n"/>
      <c r="B220" s="7" t="n"/>
      <c r="C220" s="7" t="n"/>
      <c r="D220" s="12">
        <f>IFERROR(INDEX(Produkte!$B$2:$B$301,MATCH(C220,Produkte!$A$2:$A$301,0)),"")</f>
        <v/>
      </c>
      <c r="E220" s="7" t="n"/>
      <c r="F220" s="7" t="n"/>
      <c r="G220" s="12">
        <f>IF(OR(E220="",F220=""),"",E220*F220/1000)</f>
        <v/>
      </c>
      <c r="H220" s="7" t="n"/>
      <c r="I220" s="7" t="n"/>
      <c r="J220" s="7" t="n"/>
      <c r="K220" s="7" t="n"/>
    </row>
    <row r="221">
      <c r="A221" s="18" t="n"/>
      <c r="B221" s="7" t="n"/>
      <c r="C221" s="7" t="n"/>
      <c r="D221" s="12">
        <f>IFERROR(INDEX(Produkte!$B$2:$B$301,MATCH(C221,Produkte!$A$2:$A$301,0)),"")</f>
        <v/>
      </c>
      <c r="E221" s="7" t="n"/>
      <c r="F221" s="7" t="n"/>
      <c r="G221" s="12">
        <f>IF(OR(E221="",F221=""),"",E221*F221/1000)</f>
        <v/>
      </c>
      <c r="H221" s="7" t="n"/>
      <c r="I221" s="7" t="n"/>
      <c r="J221" s="7" t="n"/>
      <c r="K221" s="7" t="n"/>
    </row>
    <row r="222">
      <c r="A222" s="18" t="n"/>
      <c r="B222" s="7" t="n"/>
      <c r="C222" s="7" t="n"/>
      <c r="D222" s="12">
        <f>IFERROR(INDEX(Produkte!$B$2:$B$301,MATCH(C222,Produkte!$A$2:$A$301,0)),"")</f>
        <v/>
      </c>
      <c r="E222" s="7" t="n"/>
      <c r="F222" s="7" t="n"/>
      <c r="G222" s="12">
        <f>IF(OR(E222="",F222=""),"",E222*F222/1000)</f>
        <v/>
      </c>
      <c r="H222" s="7" t="n"/>
      <c r="I222" s="7" t="n"/>
      <c r="J222" s="7" t="n"/>
      <c r="K222" s="7" t="n"/>
    </row>
    <row r="223">
      <c r="A223" s="18" t="n"/>
      <c r="B223" s="7" t="n"/>
      <c r="C223" s="7" t="n"/>
      <c r="D223" s="12">
        <f>IFERROR(INDEX(Produkte!$B$2:$B$301,MATCH(C223,Produkte!$A$2:$A$301,0)),"")</f>
        <v/>
      </c>
      <c r="E223" s="7" t="n"/>
      <c r="F223" s="7" t="n"/>
      <c r="G223" s="12">
        <f>IF(OR(E223="",F223=""),"",E223*F223/1000)</f>
        <v/>
      </c>
      <c r="H223" s="7" t="n"/>
      <c r="I223" s="7" t="n"/>
      <c r="J223" s="7" t="n"/>
      <c r="K223" s="7" t="n"/>
    </row>
    <row r="224">
      <c r="A224" s="18" t="n"/>
      <c r="B224" s="7" t="n"/>
      <c r="C224" s="7" t="n"/>
      <c r="D224" s="12">
        <f>IFERROR(INDEX(Produkte!$B$2:$B$301,MATCH(C224,Produkte!$A$2:$A$301,0)),"")</f>
        <v/>
      </c>
      <c r="E224" s="7" t="n"/>
      <c r="F224" s="7" t="n"/>
      <c r="G224" s="12">
        <f>IF(OR(E224="",F224=""),"",E224*F224/1000)</f>
        <v/>
      </c>
      <c r="H224" s="7" t="n"/>
      <c r="I224" s="7" t="n"/>
      <c r="J224" s="7" t="n"/>
      <c r="K224" s="7" t="n"/>
    </row>
    <row r="225">
      <c r="A225" s="18" t="n"/>
      <c r="B225" s="7" t="n"/>
      <c r="C225" s="7" t="n"/>
      <c r="D225" s="12">
        <f>IFERROR(INDEX(Produkte!$B$2:$B$301,MATCH(C225,Produkte!$A$2:$A$301,0)),"")</f>
        <v/>
      </c>
      <c r="E225" s="7" t="n"/>
      <c r="F225" s="7" t="n"/>
      <c r="G225" s="12">
        <f>IF(OR(E225="",F225=""),"",E225*F225/1000)</f>
        <v/>
      </c>
      <c r="H225" s="7" t="n"/>
      <c r="I225" s="7" t="n"/>
      <c r="J225" s="7" t="n"/>
      <c r="K225" s="7" t="n"/>
    </row>
    <row r="226">
      <c r="A226" s="18" t="n"/>
      <c r="B226" s="7" t="n"/>
      <c r="C226" s="7" t="n"/>
      <c r="D226" s="12">
        <f>IFERROR(INDEX(Produkte!$B$2:$B$301,MATCH(C226,Produkte!$A$2:$A$301,0)),"")</f>
        <v/>
      </c>
      <c r="E226" s="7" t="n"/>
      <c r="F226" s="7" t="n"/>
      <c r="G226" s="12">
        <f>IF(OR(E226="",F226=""),"",E226*F226/1000)</f>
        <v/>
      </c>
      <c r="H226" s="7" t="n"/>
      <c r="I226" s="7" t="n"/>
      <c r="J226" s="7" t="n"/>
      <c r="K226" s="7" t="n"/>
    </row>
    <row r="227">
      <c r="A227" s="18" t="n"/>
      <c r="B227" s="7" t="n"/>
      <c r="C227" s="7" t="n"/>
      <c r="D227" s="12">
        <f>IFERROR(INDEX(Produkte!$B$2:$B$301,MATCH(C227,Produkte!$A$2:$A$301,0)),"")</f>
        <v/>
      </c>
      <c r="E227" s="7" t="n"/>
      <c r="F227" s="7" t="n"/>
      <c r="G227" s="12">
        <f>IF(OR(E227="",F227=""),"",E227*F227/1000)</f>
        <v/>
      </c>
      <c r="H227" s="7" t="n"/>
      <c r="I227" s="7" t="n"/>
      <c r="J227" s="7" t="n"/>
      <c r="K227" s="7" t="n"/>
    </row>
    <row r="228">
      <c r="A228" s="18" t="n"/>
      <c r="B228" s="7" t="n"/>
      <c r="C228" s="7" t="n"/>
      <c r="D228" s="12">
        <f>IFERROR(INDEX(Produkte!$B$2:$B$301,MATCH(C228,Produkte!$A$2:$A$301,0)),"")</f>
        <v/>
      </c>
      <c r="E228" s="7" t="n"/>
      <c r="F228" s="7" t="n"/>
      <c r="G228" s="12">
        <f>IF(OR(E228="",F228=""),"",E228*F228/1000)</f>
        <v/>
      </c>
      <c r="H228" s="7" t="n"/>
      <c r="I228" s="7" t="n"/>
      <c r="J228" s="7" t="n"/>
      <c r="K228" s="7" t="n"/>
    </row>
    <row r="229">
      <c r="A229" s="18" t="n"/>
      <c r="B229" s="7" t="n"/>
      <c r="C229" s="7" t="n"/>
      <c r="D229" s="12">
        <f>IFERROR(INDEX(Produkte!$B$2:$B$301,MATCH(C229,Produkte!$A$2:$A$301,0)),"")</f>
        <v/>
      </c>
      <c r="E229" s="7" t="n"/>
      <c r="F229" s="7" t="n"/>
      <c r="G229" s="12">
        <f>IF(OR(E229="",F229=""),"",E229*F229/1000)</f>
        <v/>
      </c>
      <c r="H229" s="7" t="n"/>
      <c r="I229" s="7" t="n"/>
      <c r="J229" s="7" t="n"/>
      <c r="K229" s="7" t="n"/>
    </row>
    <row r="230">
      <c r="A230" s="18" t="n"/>
      <c r="B230" s="7" t="n"/>
      <c r="C230" s="7" t="n"/>
      <c r="D230" s="12">
        <f>IFERROR(INDEX(Produkte!$B$2:$B$301,MATCH(C230,Produkte!$A$2:$A$301,0)),"")</f>
        <v/>
      </c>
      <c r="E230" s="7" t="n"/>
      <c r="F230" s="7" t="n"/>
      <c r="G230" s="12">
        <f>IF(OR(E230="",F230=""),"",E230*F230/1000)</f>
        <v/>
      </c>
      <c r="H230" s="7" t="n"/>
      <c r="I230" s="7" t="n"/>
      <c r="J230" s="7" t="n"/>
      <c r="K230" s="7" t="n"/>
    </row>
    <row r="231">
      <c r="A231" s="18" t="n"/>
      <c r="B231" s="7" t="n"/>
      <c r="C231" s="7" t="n"/>
      <c r="D231" s="12">
        <f>IFERROR(INDEX(Produkte!$B$2:$B$301,MATCH(C231,Produkte!$A$2:$A$301,0)),"")</f>
        <v/>
      </c>
      <c r="E231" s="7" t="n"/>
      <c r="F231" s="7" t="n"/>
      <c r="G231" s="12">
        <f>IF(OR(E231="",F231=""),"",E231*F231/1000)</f>
        <v/>
      </c>
      <c r="H231" s="7" t="n"/>
      <c r="I231" s="7" t="n"/>
      <c r="J231" s="7" t="n"/>
      <c r="K231" s="7" t="n"/>
    </row>
    <row r="232">
      <c r="A232" s="18" t="n"/>
      <c r="B232" s="7" t="n"/>
      <c r="C232" s="7" t="n"/>
      <c r="D232" s="12">
        <f>IFERROR(INDEX(Produkte!$B$2:$B$301,MATCH(C232,Produkte!$A$2:$A$301,0)),"")</f>
        <v/>
      </c>
      <c r="E232" s="7" t="n"/>
      <c r="F232" s="7" t="n"/>
      <c r="G232" s="12">
        <f>IF(OR(E232="",F232=""),"",E232*F232/1000)</f>
        <v/>
      </c>
      <c r="H232" s="7" t="n"/>
      <c r="I232" s="7" t="n"/>
      <c r="J232" s="7" t="n"/>
      <c r="K232" s="7" t="n"/>
    </row>
    <row r="233">
      <c r="A233" s="18" t="n"/>
      <c r="B233" s="7" t="n"/>
      <c r="C233" s="7" t="n"/>
      <c r="D233" s="12">
        <f>IFERROR(INDEX(Produkte!$B$2:$B$301,MATCH(C233,Produkte!$A$2:$A$301,0)),"")</f>
        <v/>
      </c>
      <c r="E233" s="7" t="n"/>
      <c r="F233" s="7" t="n"/>
      <c r="G233" s="12">
        <f>IF(OR(E233="",F233=""),"",E233*F233/1000)</f>
        <v/>
      </c>
      <c r="H233" s="7" t="n"/>
      <c r="I233" s="7" t="n"/>
      <c r="J233" s="7" t="n"/>
      <c r="K233" s="7" t="n"/>
    </row>
    <row r="234">
      <c r="A234" s="18" t="n"/>
      <c r="B234" s="7" t="n"/>
      <c r="C234" s="7" t="n"/>
      <c r="D234" s="12">
        <f>IFERROR(INDEX(Produkte!$B$2:$B$301,MATCH(C234,Produkte!$A$2:$A$301,0)),"")</f>
        <v/>
      </c>
      <c r="E234" s="7" t="n"/>
      <c r="F234" s="7" t="n"/>
      <c r="G234" s="12">
        <f>IF(OR(E234="",F234=""),"",E234*F234/1000)</f>
        <v/>
      </c>
      <c r="H234" s="7" t="n"/>
      <c r="I234" s="7" t="n"/>
      <c r="J234" s="7" t="n"/>
      <c r="K234" s="7" t="n"/>
    </row>
    <row r="235">
      <c r="A235" s="18" t="n"/>
      <c r="B235" s="7" t="n"/>
      <c r="C235" s="7" t="n"/>
      <c r="D235" s="12">
        <f>IFERROR(INDEX(Produkte!$B$2:$B$301,MATCH(C235,Produkte!$A$2:$A$301,0)),"")</f>
        <v/>
      </c>
      <c r="E235" s="7" t="n"/>
      <c r="F235" s="7" t="n"/>
      <c r="G235" s="12">
        <f>IF(OR(E235="",F235=""),"",E235*F235/1000)</f>
        <v/>
      </c>
      <c r="H235" s="7" t="n"/>
      <c r="I235" s="7" t="n"/>
      <c r="J235" s="7" t="n"/>
      <c r="K235" s="7" t="n"/>
    </row>
    <row r="236">
      <c r="A236" s="18" t="n"/>
      <c r="B236" s="7" t="n"/>
      <c r="C236" s="7" t="n"/>
      <c r="D236" s="12">
        <f>IFERROR(INDEX(Produkte!$B$2:$B$301,MATCH(C236,Produkte!$A$2:$A$301,0)),"")</f>
        <v/>
      </c>
      <c r="E236" s="7" t="n"/>
      <c r="F236" s="7" t="n"/>
      <c r="G236" s="12">
        <f>IF(OR(E236="",F236=""),"",E236*F236/1000)</f>
        <v/>
      </c>
      <c r="H236" s="7" t="n"/>
      <c r="I236" s="7" t="n"/>
      <c r="J236" s="7" t="n"/>
      <c r="K236" s="7" t="n"/>
    </row>
    <row r="237">
      <c r="A237" s="18" t="n"/>
      <c r="B237" s="7" t="n"/>
      <c r="C237" s="7" t="n"/>
      <c r="D237" s="12">
        <f>IFERROR(INDEX(Produkte!$B$2:$B$301,MATCH(C237,Produkte!$A$2:$A$301,0)),"")</f>
        <v/>
      </c>
      <c r="E237" s="7" t="n"/>
      <c r="F237" s="7" t="n"/>
      <c r="G237" s="12">
        <f>IF(OR(E237="",F237=""),"",E237*F237/1000)</f>
        <v/>
      </c>
      <c r="H237" s="7" t="n"/>
      <c r="I237" s="7" t="n"/>
      <c r="J237" s="7" t="n"/>
      <c r="K237" s="7" t="n"/>
    </row>
    <row r="238">
      <c r="A238" s="18" t="n"/>
      <c r="B238" s="7" t="n"/>
      <c r="C238" s="7" t="n"/>
      <c r="D238" s="12">
        <f>IFERROR(INDEX(Produkte!$B$2:$B$301,MATCH(C238,Produkte!$A$2:$A$301,0)),"")</f>
        <v/>
      </c>
      <c r="E238" s="7" t="n"/>
      <c r="F238" s="7" t="n"/>
      <c r="G238" s="12">
        <f>IF(OR(E238="",F238=""),"",E238*F238/1000)</f>
        <v/>
      </c>
      <c r="H238" s="7" t="n"/>
      <c r="I238" s="7" t="n"/>
      <c r="J238" s="7" t="n"/>
      <c r="K238" s="7" t="n"/>
    </row>
    <row r="239">
      <c r="A239" s="18" t="n"/>
      <c r="B239" s="7" t="n"/>
      <c r="C239" s="7" t="n"/>
      <c r="D239" s="12">
        <f>IFERROR(INDEX(Produkte!$B$2:$B$301,MATCH(C239,Produkte!$A$2:$A$301,0)),"")</f>
        <v/>
      </c>
      <c r="E239" s="7" t="n"/>
      <c r="F239" s="7" t="n"/>
      <c r="G239" s="12">
        <f>IF(OR(E239="",F239=""),"",E239*F239/1000)</f>
        <v/>
      </c>
      <c r="H239" s="7" t="n"/>
      <c r="I239" s="7" t="n"/>
      <c r="J239" s="7" t="n"/>
      <c r="K239" s="7" t="n"/>
    </row>
    <row r="240">
      <c r="A240" s="18" t="n"/>
      <c r="B240" s="7" t="n"/>
      <c r="C240" s="7" t="n"/>
      <c r="D240" s="12">
        <f>IFERROR(INDEX(Produkte!$B$2:$B$301,MATCH(C240,Produkte!$A$2:$A$301,0)),"")</f>
        <v/>
      </c>
      <c r="E240" s="7" t="n"/>
      <c r="F240" s="7" t="n"/>
      <c r="G240" s="12">
        <f>IF(OR(E240="",F240=""),"",E240*F240/1000)</f>
        <v/>
      </c>
      <c r="H240" s="7" t="n"/>
      <c r="I240" s="7" t="n"/>
      <c r="J240" s="7" t="n"/>
      <c r="K240" s="7" t="n"/>
    </row>
    <row r="241">
      <c r="A241" s="18" t="n"/>
      <c r="B241" s="7" t="n"/>
      <c r="C241" s="7" t="n"/>
      <c r="D241" s="12">
        <f>IFERROR(INDEX(Produkte!$B$2:$B$301,MATCH(C241,Produkte!$A$2:$A$301,0)),"")</f>
        <v/>
      </c>
      <c r="E241" s="7" t="n"/>
      <c r="F241" s="7" t="n"/>
      <c r="G241" s="12">
        <f>IF(OR(E241="",F241=""),"",E241*F241/1000)</f>
        <v/>
      </c>
      <c r="H241" s="7" t="n"/>
      <c r="I241" s="7" t="n"/>
      <c r="J241" s="7" t="n"/>
      <c r="K241" s="7" t="n"/>
    </row>
    <row r="242">
      <c r="A242" s="18" t="n"/>
      <c r="B242" s="7" t="n"/>
      <c r="C242" s="7" t="n"/>
      <c r="D242" s="12">
        <f>IFERROR(INDEX(Produkte!$B$2:$B$301,MATCH(C242,Produkte!$A$2:$A$301,0)),"")</f>
        <v/>
      </c>
      <c r="E242" s="7" t="n"/>
      <c r="F242" s="7" t="n"/>
      <c r="G242" s="12">
        <f>IF(OR(E242="",F242=""),"",E242*F242/1000)</f>
        <v/>
      </c>
      <c r="H242" s="7" t="n"/>
      <c r="I242" s="7" t="n"/>
      <c r="J242" s="7" t="n"/>
      <c r="K242" s="7" t="n"/>
    </row>
    <row r="243">
      <c r="A243" s="18" t="n"/>
      <c r="B243" s="7" t="n"/>
      <c r="C243" s="7" t="n"/>
      <c r="D243" s="12">
        <f>IFERROR(INDEX(Produkte!$B$2:$B$301,MATCH(C243,Produkte!$A$2:$A$301,0)),"")</f>
        <v/>
      </c>
      <c r="E243" s="7" t="n"/>
      <c r="F243" s="7" t="n"/>
      <c r="G243" s="12">
        <f>IF(OR(E243="",F243=""),"",E243*F243/1000)</f>
        <v/>
      </c>
      <c r="H243" s="7" t="n"/>
      <c r="I243" s="7" t="n"/>
      <c r="J243" s="7" t="n"/>
      <c r="K243" s="7" t="n"/>
    </row>
    <row r="244">
      <c r="A244" s="18" t="n"/>
      <c r="B244" s="7" t="n"/>
      <c r="C244" s="7" t="n"/>
      <c r="D244" s="12">
        <f>IFERROR(INDEX(Produkte!$B$2:$B$301,MATCH(C244,Produkte!$A$2:$A$301,0)),"")</f>
        <v/>
      </c>
      <c r="E244" s="7" t="n"/>
      <c r="F244" s="7" t="n"/>
      <c r="G244" s="12">
        <f>IF(OR(E244="",F244=""),"",E244*F244/1000)</f>
        <v/>
      </c>
      <c r="H244" s="7" t="n"/>
      <c r="I244" s="7" t="n"/>
      <c r="J244" s="7" t="n"/>
      <c r="K244" s="7" t="n"/>
    </row>
    <row r="245">
      <c r="A245" s="18" t="n"/>
      <c r="B245" s="7" t="n"/>
      <c r="C245" s="7" t="n"/>
      <c r="D245" s="12">
        <f>IFERROR(INDEX(Produkte!$B$2:$B$301,MATCH(C245,Produkte!$A$2:$A$301,0)),"")</f>
        <v/>
      </c>
      <c r="E245" s="7" t="n"/>
      <c r="F245" s="7" t="n"/>
      <c r="G245" s="12">
        <f>IF(OR(E245="",F245=""),"",E245*F245/1000)</f>
        <v/>
      </c>
      <c r="H245" s="7" t="n"/>
      <c r="I245" s="7" t="n"/>
      <c r="J245" s="7" t="n"/>
      <c r="K245" s="7" t="n"/>
    </row>
    <row r="246">
      <c r="A246" s="18" t="n"/>
      <c r="B246" s="7" t="n"/>
      <c r="C246" s="7" t="n"/>
      <c r="D246" s="12">
        <f>IFERROR(INDEX(Produkte!$B$2:$B$301,MATCH(C246,Produkte!$A$2:$A$301,0)),"")</f>
        <v/>
      </c>
      <c r="E246" s="7" t="n"/>
      <c r="F246" s="7" t="n"/>
      <c r="G246" s="12">
        <f>IF(OR(E246="",F246=""),"",E246*F246/1000)</f>
        <v/>
      </c>
      <c r="H246" s="7" t="n"/>
      <c r="I246" s="7" t="n"/>
      <c r="J246" s="7" t="n"/>
      <c r="K246" s="7" t="n"/>
    </row>
    <row r="247">
      <c r="A247" s="18" t="n"/>
      <c r="B247" s="7" t="n"/>
      <c r="C247" s="7" t="n"/>
      <c r="D247" s="12">
        <f>IFERROR(INDEX(Produkte!$B$2:$B$301,MATCH(C247,Produkte!$A$2:$A$301,0)),"")</f>
        <v/>
      </c>
      <c r="E247" s="7" t="n"/>
      <c r="F247" s="7" t="n"/>
      <c r="G247" s="12">
        <f>IF(OR(E247="",F247=""),"",E247*F247/1000)</f>
        <v/>
      </c>
      <c r="H247" s="7" t="n"/>
      <c r="I247" s="7" t="n"/>
      <c r="J247" s="7" t="n"/>
      <c r="K247" s="7" t="n"/>
    </row>
    <row r="248">
      <c r="A248" s="18" t="n"/>
      <c r="B248" s="7" t="n"/>
      <c r="C248" s="7" t="n"/>
      <c r="D248" s="12">
        <f>IFERROR(INDEX(Produkte!$B$2:$B$301,MATCH(C248,Produkte!$A$2:$A$301,0)),"")</f>
        <v/>
      </c>
      <c r="E248" s="7" t="n"/>
      <c r="F248" s="7" t="n"/>
      <c r="G248" s="12">
        <f>IF(OR(E248="",F248=""),"",E248*F248/1000)</f>
        <v/>
      </c>
      <c r="H248" s="7" t="n"/>
      <c r="I248" s="7" t="n"/>
      <c r="J248" s="7" t="n"/>
      <c r="K248" s="7" t="n"/>
    </row>
    <row r="249">
      <c r="A249" s="18" t="n"/>
      <c r="B249" s="7" t="n"/>
      <c r="C249" s="7" t="n"/>
      <c r="D249" s="12">
        <f>IFERROR(INDEX(Produkte!$B$2:$B$301,MATCH(C249,Produkte!$A$2:$A$301,0)),"")</f>
        <v/>
      </c>
      <c r="E249" s="7" t="n"/>
      <c r="F249" s="7" t="n"/>
      <c r="G249" s="12">
        <f>IF(OR(E249="",F249=""),"",E249*F249/1000)</f>
        <v/>
      </c>
      <c r="H249" s="7" t="n"/>
      <c r="I249" s="7" t="n"/>
      <c r="J249" s="7" t="n"/>
      <c r="K249" s="7" t="n"/>
    </row>
    <row r="250">
      <c r="A250" s="18" t="n"/>
      <c r="B250" s="7" t="n"/>
      <c r="C250" s="7" t="n"/>
      <c r="D250" s="12">
        <f>IFERROR(INDEX(Produkte!$B$2:$B$301,MATCH(C250,Produkte!$A$2:$A$301,0)),"")</f>
        <v/>
      </c>
      <c r="E250" s="7" t="n"/>
      <c r="F250" s="7" t="n"/>
      <c r="G250" s="12">
        <f>IF(OR(E250="",F250=""),"",E250*F250/1000)</f>
        <v/>
      </c>
      <c r="H250" s="7" t="n"/>
      <c r="I250" s="7" t="n"/>
      <c r="J250" s="7" t="n"/>
      <c r="K250" s="7" t="n"/>
    </row>
    <row r="251">
      <c r="A251" s="18" t="n"/>
      <c r="B251" s="7" t="n"/>
      <c r="C251" s="7" t="n"/>
      <c r="D251" s="12">
        <f>IFERROR(INDEX(Produkte!$B$2:$B$301,MATCH(C251,Produkte!$A$2:$A$301,0)),"")</f>
        <v/>
      </c>
      <c r="E251" s="7" t="n"/>
      <c r="F251" s="7" t="n"/>
      <c r="G251" s="12">
        <f>IF(OR(E251="",F251=""),"",E251*F251/1000)</f>
        <v/>
      </c>
      <c r="H251" s="7" t="n"/>
      <c r="I251" s="7" t="n"/>
      <c r="J251" s="7" t="n"/>
      <c r="K251" s="7" t="n"/>
    </row>
    <row r="252">
      <c r="A252" s="18" t="n"/>
      <c r="B252" s="7" t="n"/>
      <c r="C252" s="7" t="n"/>
      <c r="D252" s="12">
        <f>IFERROR(INDEX(Produkte!$B$2:$B$301,MATCH(C252,Produkte!$A$2:$A$301,0)),"")</f>
        <v/>
      </c>
      <c r="E252" s="7" t="n"/>
      <c r="F252" s="7" t="n"/>
      <c r="G252" s="12">
        <f>IF(OR(E252="",F252=""),"",E252*F252/1000)</f>
        <v/>
      </c>
      <c r="H252" s="7" t="n"/>
      <c r="I252" s="7" t="n"/>
      <c r="J252" s="7" t="n"/>
      <c r="K252" s="7" t="n"/>
    </row>
    <row r="253">
      <c r="A253" s="18" t="n"/>
      <c r="B253" s="7" t="n"/>
      <c r="C253" s="7" t="n"/>
      <c r="D253" s="12">
        <f>IFERROR(INDEX(Produkte!$B$2:$B$301,MATCH(C253,Produkte!$A$2:$A$301,0)),"")</f>
        <v/>
      </c>
      <c r="E253" s="7" t="n"/>
      <c r="F253" s="7" t="n"/>
      <c r="G253" s="12">
        <f>IF(OR(E253="",F253=""),"",E253*F253/1000)</f>
        <v/>
      </c>
      <c r="H253" s="7" t="n"/>
      <c r="I253" s="7" t="n"/>
      <c r="J253" s="7" t="n"/>
      <c r="K253" s="7" t="n"/>
    </row>
    <row r="254">
      <c r="A254" s="18" t="n"/>
      <c r="B254" s="7" t="n"/>
      <c r="C254" s="7" t="n"/>
      <c r="D254" s="12">
        <f>IFERROR(INDEX(Produkte!$B$2:$B$301,MATCH(C254,Produkte!$A$2:$A$301,0)),"")</f>
        <v/>
      </c>
      <c r="E254" s="7" t="n"/>
      <c r="F254" s="7" t="n"/>
      <c r="G254" s="12">
        <f>IF(OR(E254="",F254=""),"",E254*F254/1000)</f>
        <v/>
      </c>
      <c r="H254" s="7" t="n"/>
      <c r="I254" s="7" t="n"/>
      <c r="J254" s="7" t="n"/>
      <c r="K254" s="7" t="n"/>
    </row>
    <row r="255">
      <c r="A255" s="18" t="n"/>
      <c r="B255" s="7" t="n"/>
      <c r="C255" s="7" t="n"/>
      <c r="D255" s="12">
        <f>IFERROR(INDEX(Produkte!$B$2:$B$301,MATCH(C255,Produkte!$A$2:$A$301,0)),"")</f>
        <v/>
      </c>
      <c r="E255" s="7" t="n"/>
      <c r="F255" s="7" t="n"/>
      <c r="G255" s="12">
        <f>IF(OR(E255="",F255=""),"",E255*F255/1000)</f>
        <v/>
      </c>
      <c r="H255" s="7" t="n"/>
      <c r="I255" s="7" t="n"/>
      <c r="J255" s="7" t="n"/>
      <c r="K255" s="7" t="n"/>
    </row>
    <row r="256">
      <c r="A256" s="18" t="n"/>
      <c r="B256" s="7" t="n"/>
      <c r="C256" s="7" t="n"/>
      <c r="D256" s="12">
        <f>IFERROR(INDEX(Produkte!$B$2:$B$301,MATCH(C256,Produkte!$A$2:$A$301,0)),"")</f>
        <v/>
      </c>
      <c r="E256" s="7" t="n"/>
      <c r="F256" s="7" t="n"/>
      <c r="G256" s="12">
        <f>IF(OR(E256="",F256=""),"",E256*F256/1000)</f>
        <v/>
      </c>
      <c r="H256" s="7" t="n"/>
      <c r="I256" s="7" t="n"/>
      <c r="J256" s="7" t="n"/>
      <c r="K256" s="7" t="n"/>
    </row>
    <row r="257">
      <c r="A257" s="18" t="n"/>
      <c r="B257" s="7" t="n"/>
      <c r="C257" s="7" t="n"/>
      <c r="D257" s="12">
        <f>IFERROR(INDEX(Produkte!$B$2:$B$301,MATCH(C257,Produkte!$A$2:$A$301,0)),"")</f>
        <v/>
      </c>
      <c r="E257" s="7" t="n"/>
      <c r="F257" s="7" t="n"/>
      <c r="G257" s="12">
        <f>IF(OR(E257="",F257=""),"",E257*F257/1000)</f>
        <v/>
      </c>
      <c r="H257" s="7" t="n"/>
      <c r="I257" s="7" t="n"/>
      <c r="J257" s="7" t="n"/>
      <c r="K257" s="7" t="n"/>
    </row>
    <row r="258">
      <c r="A258" s="18" t="n"/>
      <c r="B258" s="7" t="n"/>
      <c r="C258" s="7" t="n"/>
      <c r="D258" s="12">
        <f>IFERROR(INDEX(Produkte!$B$2:$B$301,MATCH(C258,Produkte!$A$2:$A$301,0)),"")</f>
        <v/>
      </c>
      <c r="E258" s="7" t="n"/>
      <c r="F258" s="7" t="n"/>
      <c r="G258" s="12">
        <f>IF(OR(E258="",F258=""),"",E258*F258/1000)</f>
        <v/>
      </c>
      <c r="H258" s="7" t="n"/>
      <c r="I258" s="7" t="n"/>
      <c r="J258" s="7" t="n"/>
      <c r="K258" s="7" t="n"/>
    </row>
    <row r="259">
      <c r="A259" s="18" t="n"/>
      <c r="B259" s="7" t="n"/>
      <c r="C259" s="7" t="n"/>
      <c r="D259" s="12">
        <f>IFERROR(INDEX(Produkte!$B$2:$B$301,MATCH(C259,Produkte!$A$2:$A$301,0)),"")</f>
        <v/>
      </c>
      <c r="E259" s="7" t="n"/>
      <c r="F259" s="7" t="n"/>
      <c r="G259" s="12">
        <f>IF(OR(E259="",F259=""),"",E259*F259/1000)</f>
        <v/>
      </c>
      <c r="H259" s="7" t="n"/>
      <c r="I259" s="7" t="n"/>
      <c r="J259" s="7" t="n"/>
      <c r="K259" s="7" t="n"/>
    </row>
    <row r="260">
      <c r="A260" s="18" t="n"/>
      <c r="B260" s="7" t="n"/>
      <c r="C260" s="7" t="n"/>
      <c r="D260" s="12">
        <f>IFERROR(INDEX(Produkte!$B$2:$B$301,MATCH(C260,Produkte!$A$2:$A$301,0)),"")</f>
        <v/>
      </c>
      <c r="E260" s="7" t="n"/>
      <c r="F260" s="7" t="n"/>
      <c r="G260" s="12">
        <f>IF(OR(E260="",F260=""),"",E260*F260/1000)</f>
        <v/>
      </c>
      <c r="H260" s="7" t="n"/>
      <c r="I260" s="7" t="n"/>
      <c r="J260" s="7" t="n"/>
      <c r="K260" s="7" t="n"/>
    </row>
    <row r="261">
      <c r="A261" s="18" t="n"/>
      <c r="B261" s="7" t="n"/>
      <c r="C261" s="7" t="n"/>
      <c r="D261" s="12">
        <f>IFERROR(INDEX(Produkte!$B$2:$B$301,MATCH(C261,Produkte!$A$2:$A$301,0)),"")</f>
        <v/>
      </c>
      <c r="E261" s="7" t="n"/>
      <c r="F261" s="7" t="n"/>
      <c r="G261" s="12">
        <f>IF(OR(E261="",F261=""),"",E261*F261/1000)</f>
        <v/>
      </c>
      <c r="H261" s="7" t="n"/>
      <c r="I261" s="7" t="n"/>
      <c r="J261" s="7" t="n"/>
      <c r="K261" s="7" t="n"/>
    </row>
    <row r="262">
      <c r="A262" s="18" t="n"/>
      <c r="B262" s="7" t="n"/>
      <c r="C262" s="7" t="n"/>
      <c r="D262" s="12">
        <f>IFERROR(INDEX(Produkte!$B$2:$B$301,MATCH(C262,Produkte!$A$2:$A$301,0)),"")</f>
        <v/>
      </c>
      <c r="E262" s="7" t="n"/>
      <c r="F262" s="7" t="n"/>
      <c r="G262" s="12">
        <f>IF(OR(E262="",F262=""),"",E262*F262/1000)</f>
        <v/>
      </c>
      <c r="H262" s="7" t="n"/>
      <c r="I262" s="7" t="n"/>
      <c r="J262" s="7" t="n"/>
      <c r="K262" s="7" t="n"/>
    </row>
    <row r="263">
      <c r="A263" s="18" t="n"/>
      <c r="B263" s="7" t="n"/>
      <c r="C263" s="7" t="n"/>
      <c r="D263" s="12">
        <f>IFERROR(INDEX(Produkte!$B$2:$B$301,MATCH(C263,Produkte!$A$2:$A$301,0)),"")</f>
        <v/>
      </c>
      <c r="E263" s="7" t="n"/>
      <c r="F263" s="7" t="n"/>
      <c r="G263" s="12">
        <f>IF(OR(E263="",F263=""),"",E263*F263/1000)</f>
        <v/>
      </c>
      <c r="H263" s="7" t="n"/>
      <c r="I263" s="7" t="n"/>
      <c r="J263" s="7" t="n"/>
      <c r="K263" s="7" t="n"/>
    </row>
    <row r="264">
      <c r="A264" s="18" t="n"/>
      <c r="B264" s="7" t="n"/>
      <c r="C264" s="7" t="n"/>
      <c r="D264" s="12">
        <f>IFERROR(INDEX(Produkte!$B$2:$B$301,MATCH(C264,Produkte!$A$2:$A$301,0)),"")</f>
        <v/>
      </c>
      <c r="E264" s="7" t="n"/>
      <c r="F264" s="7" t="n"/>
      <c r="G264" s="12">
        <f>IF(OR(E264="",F264=""),"",E264*F264/1000)</f>
        <v/>
      </c>
      <c r="H264" s="7" t="n"/>
      <c r="I264" s="7" t="n"/>
      <c r="J264" s="7" t="n"/>
      <c r="K264" s="7" t="n"/>
    </row>
    <row r="265">
      <c r="A265" s="18" t="n"/>
      <c r="B265" s="7" t="n"/>
      <c r="C265" s="7" t="n"/>
      <c r="D265" s="12">
        <f>IFERROR(INDEX(Produkte!$B$2:$B$301,MATCH(C265,Produkte!$A$2:$A$301,0)),"")</f>
        <v/>
      </c>
      <c r="E265" s="7" t="n"/>
      <c r="F265" s="7" t="n"/>
      <c r="G265" s="12">
        <f>IF(OR(E265="",F265=""),"",E265*F265/1000)</f>
        <v/>
      </c>
      <c r="H265" s="7" t="n"/>
      <c r="I265" s="7" t="n"/>
      <c r="J265" s="7" t="n"/>
      <c r="K265" s="7" t="n"/>
    </row>
    <row r="266">
      <c r="A266" s="18" t="n"/>
      <c r="B266" s="7" t="n"/>
      <c r="C266" s="7" t="n"/>
      <c r="D266" s="12">
        <f>IFERROR(INDEX(Produkte!$B$2:$B$301,MATCH(C266,Produkte!$A$2:$A$301,0)),"")</f>
        <v/>
      </c>
      <c r="E266" s="7" t="n"/>
      <c r="F266" s="7" t="n"/>
      <c r="G266" s="12">
        <f>IF(OR(E266="",F266=""),"",E266*F266/1000)</f>
        <v/>
      </c>
      <c r="H266" s="7" t="n"/>
      <c r="I266" s="7" t="n"/>
      <c r="J266" s="7" t="n"/>
      <c r="K266" s="7" t="n"/>
    </row>
    <row r="267">
      <c r="A267" s="18" t="n"/>
      <c r="B267" s="7" t="n"/>
      <c r="C267" s="7" t="n"/>
      <c r="D267" s="12">
        <f>IFERROR(INDEX(Produkte!$B$2:$B$301,MATCH(C267,Produkte!$A$2:$A$301,0)),"")</f>
        <v/>
      </c>
      <c r="E267" s="7" t="n"/>
      <c r="F267" s="7" t="n"/>
      <c r="G267" s="12">
        <f>IF(OR(E267="",F267=""),"",E267*F267/1000)</f>
        <v/>
      </c>
      <c r="H267" s="7" t="n"/>
      <c r="I267" s="7" t="n"/>
      <c r="J267" s="7" t="n"/>
      <c r="K267" s="7" t="n"/>
    </row>
    <row r="268">
      <c r="A268" s="18" t="n"/>
      <c r="B268" s="7" t="n"/>
      <c r="C268" s="7" t="n"/>
      <c r="D268" s="12">
        <f>IFERROR(INDEX(Produkte!$B$2:$B$301,MATCH(C268,Produkte!$A$2:$A$301,0)),"")</f>
        <v/>
      </c>
      <c r="E268" s="7" t="n"/>
      <c r="F268" s="7" t="n"/>
      <c r="G268" s="12">
        <f>IF(OR(E268="",F268=""),"",E268*F268/1000)</f>
        <v/>
      </c>
      <c r="H268" s="7" t="n"/>
      <c r="I268" s="7" t="n"/>
      <c r="J268" s="7" t="n"/>
      <c r="K268" s="7" t="n"/>
    </row>
    <row r="269">
      <c r="A269" s="18" t="n"/>
      <c r="B269" s="7" t="n"/>
      <c r="C269" s="7" t="n"/>
      <c r="D269" s="12">
        <f>IFERROR(INDEX(Produkte!$B$2:$B$301,MATCH(C269,Produkte!$A$2:$A$301,0)),"")</f>
        <v/>
      </c>
      <c r="E269" s="7" t="n"/>
      <c r="F269" s="7" t="n"/>
      <c r="G269" s="12">
        <f>IF(OR(E269="",F269=""),"",E269*F269/1000)</f>
        <v/>
      </c>
      <c r="H269" s="7" t="n"/>
      <c r="I269" s="7" t="n"/>
      <c r="J269" s="7" t="n"/>
      <c r="K269" s="7" t="n"/>
    </row>
    <row r="270">
      <c r="A270" s="18" t="n"/>
      <c r="B270" s="7" t="n"/>
      <c r="C270" s="7" t="n"/>
      <c r="D270" s="12">
        <f>IFERROR(INDEX(Produkte!$B$2:$B$301,MATCH(C270,Produkte!$A$2:$A$301,0)),"")</f>
        <v/>
      </c>
      <c r="E270" s="7" t="n"/>
      <c r="F270" s="7" t="n"/>
      <c r="G270" s="12">
        <f>IF(OR(E270="",F270=""),"",E270*F270/1000)</f>
        <v/>
      </c>
      <c r="H270" s="7" t="n"/>
      <c r="I270" s="7" t="n"/>
      <c r="J270" s="7" t="n"/>
      <c r="K270" s="7" t="n"/>
    </row>
    <row r="271">
      <c r="A271" s="18" t="n"/>
      <c r="B271" s="7" t="n"/>
      <c r="C271" s="7" t="n"/>
      <c r="D271" s="12">
        <f>IFERROR(INDEX(Produkte!$B$2:$B$301,MATCH(C271,Produkte!$A$2:$A$301,0)),"")</f>
        <v/>
      </c>
      <c r="E271" s="7" t="n"/>
      <c r="F271" s="7" t="n"/>
      <c r="G271" s="12">
        <f>IF(OR(E271="",F271=""),"",E271*F271/1000)</f>
        <v/>
      </c>
      <c r="H271" s="7" t="n"/>
      <c r="I271" s="7" t="n"/>
      <c r="J271" s="7" t="n"/>
      <c r="K271" s="7" t="n"/>
    </row>
    <row r="272">
      <c r="A272" s="18" t="n"/>
      <c r="B272" s="7" t="n"/>
      <c r="C272" s="7" t="n"/>
      <c r="D272" s="12">
        <f>IFERROR(INDEX(Produkte!$B$2:$B$301,MATCH(C272,Produkte!$A$2:$A$301,0)),"")</f>
        <v/>
      </c>
      <c r="E272" s="7" t="n"/>
      <c r="F272" s="7" t="n"/>
      <c r="G272" s="12">
        <f>IF(OR(E272="",F272=""),"",E272*F272/1000)</f>
        <v/>
      </c>
      <c r="H272" s="7" t="n"/>
      <c r="I272" s="7" t="n"/>
      <c r="J272" s="7" t="n"/>
      <c r="K272" s="7" t="n"/>
    </row>
    <row r="273">
      <c r="A273" s="18" t="n"/>
      <c r="B273" s="7" t="n"/>
      <c r="C273" s="7" t="n"/>
      <c r="D273" s="12">
        <f>IFERROR(INDEX(Produkte!$B$2:$B$301,MATCH(C273,Produkte!$A$2:$A$301,0)),"")</f>
        <v/>
      </c>
      <c r="E273" s="7" t="n"/>
      <c r="F273" s="7" t="n"/>
      <c r="G273" s="12">
        <f>IF(OR(E273="",F273=""),"",E273*F273/1000)</f>
        <v/>
      </c>
      <c r="H273" s="7" t="n"/>
      <c r="I273" s="7" t="n"/>
      <c r="J273" s="7" t="n"/>
      <c r="K273" s="7" t="n"/>
    </row>
    <row r="274">
      <c r="A274" s="18" t="n"/>
      <c r="B274" s="7" t="n"/>
      <c r="C274" s="7" t="n"/>
      <c r="D274" s="12">
        <f>IFERROR(INDEX(Produkte!$B$2:$B$301,MATCH(C274,Produkte!$A$2:$A$301,0)),"")</f>
        <v/>
      </c>
      <c r="E274" s="7" t="n"/>
      <c r="F274" s="7" t="n"/>
      <c r="G274" s="12">
        <f>IF(OR(E274="",F274=""),"",E274*F274/1000)</f>
        <v/>
      </c>
      <c r="H274" s="7" t="n"/>
      <c r="I274" s="7" t="n"/>
      <c r="J274" s="7" t="n"/>
      <c r="K274" s="7" t="n"/>
    </row>
    <row r="275">
      <c r="A275" s="18" t="n"/>
      <c r="B275" s="7" t="n"/>
      <c r="C275" s="7" t="n"/>
      <c r="D275" s="12">
        <f>IFERROR(INDEX(Produkte!$B$2:$B$301,MATCH(C275,Produkte!$A$2:$A$301,0)),"")</f>
        <v/>
      </c>
      <c r="E275" s="7" t="n"/>
      <c r="F275" s="7" t="n"/>
      <c r="G275" s="12">
        <f>IF(OR(E275="",F275=""),"",E275*F275/1000)</f>
        <v/>
      </c>
      <c r="H275" s="7" t="n"/>
      <c r="I275" s="7" t="n"/>
      <c r="J275" s="7" t="n"/>
      <c r="K275" s="7" t="n"/>
    </row>
    <row r="276">
      <c r="A276" s="18" t="n"/>
      <c r="B276" s="7" t="n"/>
      <c r="C276" s="7" t="n"/>
      <c r="D276" s="12">
        <f>IFERROR(INDEX(Produkte!$B$2:$B$301,MATCH(C276,Produkte!$A$2:$A$301,0)),"")</f>
        <v/>
      </c>
      <c r="E276" s="7" t="n"/>
      <c r="F276" s="7" t="n"/>
      <c r="G276" s="12">
        <f>IF(OR(E276="",F276=""),"",E276*F276/1000)</f>
        <v/>
      </c>
      <c r="H276" s="7" t="n"/>
      <c r="I276" s="7" t="n"/>
      <c r="J276" s="7" t="n"/>
      <c r="K276" s="7" t="n"/>
    </row>
    <row r="277">
      <c r="A277" s="18" t="n"/>
      <c r="B277" s="7" t="n"/>
      <c r="C277" s="7" t="n"/>
      <c r="D277" s="12">
        <f>IFERROR(INDEX(Produkte!$B$2:$B$301,MATCH(C277,Produkte!$A$2:$A$301,0)),"")</f>
        <v/>
      </c>
      <c r="E277" s="7" t="n"/>
      <c r="F277" s="7" t="n"/>
      <c r="G277" s="12">
        <f>IF(OR(E277="",F277=""),"",E277*F277/1000)</f>
        <v/>
      </c>
      <c r="H277" s="7" t="n"/>
      <c r="I277" s="7" t="n"/>
      <c r="J277" s="7" t="n"/>
      <c r="K277" s="7" t="n"/>
    </row>
    <row r="278">
      <c r="A278" s="18" t="n"/>
      <c r="B278" s="7" t="n"/>
      <c r="C278" s="7" t="n"/>
      <c r="D278" s="12">
        <f>IFERROR(INDEX(Produkte!$B$2:$B$301,MATCH(C278,Produkte!$A$2:$A$301,0)),"")</f>
        <v/>
      </c>
      <c r="E278" s="7" t="n"/>
      <c r="F278" s="7" t="n"/>
      <c r="G278" s="12">
        <f>IF(OR(E278="",F278=""),"",E278*F278/1000)</f>
        <v/>
      </c>
      <c r="H278" s="7" t="n"/>
      <c r="I278" s="7" t="n"/>
      <c r="J278" s="7" t="n"/>
      <c r="K278" s="7" t="n"/>
    </row>
    <row r="279">
      <c r="A279" s="18" t="n"/>
      <c r="B279" s="7" t="n"/>
      <c r="C279" s="7" t="n"/>
      <c r="D279" s="12">
        <f>IFERROR(INDEX(Produkte!$B$2:$B$301,MATCH(C279,Produkte!$A$2:$A$301,0)),"")</f>
        <v/>
      </c>
      <c r="E279" s="7" t="n"/>
      <c r="F279" s="7" t="n"/>
      <c r="G279" s="12">
        <f>IF(OR(E279="",F279=""),"",E279*F279/1000)</f>
        <v/>
      </c>
      <c r="H279" s="7" t="n"/>
      <c r="I279" s="7" t="n"/>
      <c r="J279" s="7" t="n"/>
      <c r="K279" s="7" t="n"/>
    </row>
    <row r="280">
      <c r="A280" s="18" t="n"/>
      <c r="B280" s="7" t="n"/>
      <c r="C280" s="7" t="n"/>
      <c r="D280" s="12">
        <f>IFERROR(INDEX(Produkte!$B$2:$B$301,MATCH(C280,Produkte!$A$2:$A$301,0)),"")</f>
        <v/>
      </c>
      <c r="E280" s="7" t="n"/>
      <c r="F280" s="7" t="n"/>
      <c r="G280" s="12">
        <f>IF(OR(E280="",F280=""),"",E280*F280/1000)</f>
        <v/>
      </c>
      <c r="H280" s="7" t="n"/>
      <c r="I280" s="7" t="n"/>
      <c r="J280" s="7" t="n"/>
      <c r="K280" s="7" t="n"/>
    </row>
    <row r="281">
      <c r="A281" s="18" t="n"/>
      <c r="B281" s="7" t="n"/>
      <c r="C281" s="7" t="n"/>
      <c r="D281" s="12">
        <f>IFERROR(INDEX(Produkte!$B$2:$B$301,MATCH(C281,Produkte!$A$2:$A$301,0)),"")</f>
        <v/>
      </c>
      <c r="E281" s="7" t="n"/>
      <c r="F281" s="7" t="n"/>
      <c r="G281" s="12">
        <f>IF(OR(E281="",F281=""),"",E281*F281/1000)</f>
        <v/>
      </c>
      <c r="H281" s="7" t="n"/>
      <c r="I281" s="7" t="n"/>
      <c r="J281" s="7" t="n"/>
      <c r="K281" s="7" t="n"/>
    </row>
    <row r="282">
      <c r="A282" s="18" t="n"/>
      <c r="B282" s="7" t="n"/>
      <c r="C282" s="7" t="n"/>
      <c r="D282" s="12">
        <f>IFERROR(INDEX(Produkte!$B$2:$B$301,MATCH(C282,Produkte!$A$2:$A$301,0)),"")</f>
        <v/>
      </c>
      <c r="E282" s="7" t="n"/>
      <c r="F282" s="7" t="n"/>
      <c r="G282" s="12">
        <f>IF(OR(E282="",F282=""),"",E282*F282/1000)</f>
        <v/>
      </c>
      <c r="H282" s="7" t="n"/>
      <c r="I282" s="7" t="n"/>
      <c r="J282" s="7" t="n"/>
      <c r="K282" s="7" t="n"/>
    </row>
    <row r="283">
      <c r="A283" s="18" t="n"/>
      <c r="B283" s="7" t="n"/>
      <c r="C283" s="7" t="n"/>
      <c r="D283" s="12">
        <f>IFERROR(INDEX(Produkte!$B$2:$B$301,MATCH(C283,Produkte!$A$2:$A$301,0)),"")</f>
        <v/>
      </c>
      <c r="E283" s="7" t="n"/>
      <c r="F283" s="7" t="n"/>
      <c r="G283" s="12">
        <f>IF(OR(E283="",F283=""),"",E283*F283/1000)</f>
        <v/>
      </c>
      <c r="H283" s="7" t="n"/>
      <c r="I283" s="7" t="n"/>
      <c r="J283" s="7" t="n"/>
      <c r="K283" s="7" t="n"/>
    </row>
    <row r="284">
      <c r="A284" s="18" t="n"/>
      <c r="B284" s="7" t="n"/>
      <c r="C284" s="7" t="n"/>
      <c r="D284" s="12">
        <f>IFERROR(INDEX(Produkte!$B$2:$B$301,MATCH(C284,Produkte!$A$2:$A$301,0)),"")</f>
        <v/>
      </c>
      <c r="E284" s="7" t="n"/>
      <c r="F284" s="7" t="n"/>
      <c r="G284" s="12">
        <f>IF(OR(E284="",F284=""),"",E284*F284/1000)</f>
        <v/>
      </c>
      <c r="H284" s="7" t="n"/>
      <c r="I284" s="7" t="n"/>
      <c r="J284" s="7" t="n"/>
      <c r="K284" s="7" t="n"/>
    </row>
    <row r="285">
      <c r="A285" s="18" t="n"/>
      <c r="B285" s="7" t="n"/>
      <c r="C285" s="7" t="n"/>
      <c r="D285" s="12">
        <f>IFERROR(INDEX(Produkte!$B$2:$B$301,MATCH(C285,Produkte!$A$2:$A$301,0)),"")</f>
        <v/>
      </c>
      <c r="E285" s="7" t="n"/>
      <c r="F285" s="7" t="n"/>
      <c r="G285" s="12">
        <f>IF(OR(E285="",F285=""),"",E285*F285/1000)</f>
        <v/>
      </c>
      <c r="H285" s="7" t="n"/>
      <c r="I285" s="7" t="n"/>
      <c r="J285" s="7" t="n"/>
      <c r="K285" s="7" t="n"/>
    </row>
    <row r="286">
      <c r="A286" s="18" t="n"/>
      <c r="B286" s="7" t="n"/>
      <c r="C286" s="7" t="n"/>
      <c r="D286" s="12">
        <f>IFERROR(INDEX(Produkte!$B$2:$B$301,MATCH(C286,Produkte!$A$2:$A$301,0)),"")</f>
        <v/>
      </c>
      <c r="E286" s="7" t="n"/>
      <c r="F286" s="7" t="n"/>
      <c r="G286" s="12">
        <f>IF(OR(E286="",F286=""),"",E286*F286/1000)</f>
        <v/>
      </c>
      <c r="H286" s="7" t="n"/>
      <c r="I286" s="7" t="n"/>
      <c r="J286" s="7" t="n"/>
      <c r="K286" s="7" t="n"/>
    </row>
    <row r="287">
      <c r="A287" s="18" t="n"/>
      <c r="B287" s="7" t="n"/>
      <c r="C287" s="7" t="n"/>
      <c r="D287" s="12">
        <f>IFERROR(INDEX(Produkte!$B$2:$B$301,MATCH(C287,Produkte!$A$2:$A$301,0)),"")</f>
        <v/>
      </c>
      <c r="E287" s="7" t="n"/>
      <c r="F287" s="7" t="n"/>
      <c r="G287" s="12">
        <f>IF(OR(E287="",F287=""),"",E287*F287/1000)</f>
        <v/>
      </c>
      <c r="H287" s="7" t="n"/>
      <c r="I287" s="7" t="n"/>
      <c r="J287" s="7" t="n"/>
      <c r="K287" s="7" t="n"/>
    </row>
    <row r="288">
      <c r="A288" s="18" t="n"/>
      <c r="B288" s="7" t="n"/>
      <c r="C288" s="7" t="n"/>
      <c r="D288" s="12">
        <f>IFERROR(INDEX(Produkte!$B$2:$B$301,MATCH(C288,Produkte!$A$2:$A$301,0)),"")</f>
        <v/>
      </c>
      <c r="E288" s="7" t="n"/>
      <c r="F288" s="7" t="n"/>
      <c r="G288" s="12">
        <f>IF(OR(E288="",F288=""),"",E288*F288/1000)</f>
        <v/>
      </c>
      <c r="H288" s="7" t="n"/>
      <c r="I288" s="7" t="n"/>
      <c r="J288" s="7" t="n"/>
      <c r="K288" s="7" t="n"/>
    </row>
    <row r="289">
      <c r="A289" s="18" t="n"/>
      <c r="B289" s="7" t="n"/>
      <c r="C289" s="7" t="n"/>
      <c r="D289" s="12">
        <f>IFERROR(INDEX(Produkte!$B$2:$B$301,MATCH(C289,Produkte!$A$2:$A$301,0)),"")</f>
        <v/>
      </c>
      <c r="E289" s="7" t="n"/>
      <c r="F289" s="7" t="n"/>
      <c r="G289" s="12">
        <f>IF(OR(E289="",F289=""),"",E289*F289/1000)</f>
        <v/>
      </c>
      <c r="H289" s="7" t="n"/>
      <c r="I289" s="7" t="n"/>
      <c r="J289" s="7" t="n"/>
      <c r="K289" s="7" t="n"/>
    </row>
    <row r="290">
      <c r="A290" s="18" t="n"/>
      <c r="B290" s="7" t="n"/>
      <c r="C290" s="7" t="n"/>
      <c r="D290" s="12">
        <f>IFERROR(INDEX(Produkte!$B$2:$B$301,MATCH(C290,Produkte!$A$2:$A$301,0)),"")</f>
        <v/>
      </c>
      <c r="E290" s="7" t="n"/>
      <c r="F290" s="7" t="n"/>
      <c r="G290" s="12">
        <f>IF(OR(E290="",F290=""),"",E290*F290/1000)</f>
        <v/>
      </c>
      <c r="H290" s="7" t="n"/>
      <c r="I290" s="7" t="n"/>
      <c r="J290" s="7" t="n"/>
      <c r="K290" s="7" t="n"/>
    </row>
    <row r="291">
      <c r="A291" s="18" t="n"/>
      <c r="B291" s="7" t="n"/>
      <c r="C291" s="7" t="n"/>
      <c r="D291" s="12">
        <f>IFERROR(INDEX(Produkte!$B$2:$B$301,MATCH(C291,Produkte!$A$2:$A$301,0)),"")</f>
        <v/>
      </c>
      <c r="E291" s="7" t="n"/>
      <c r="F291" s="7" t="n"/>
      <c r="G291" s="12">
        <f>IF(OR(E291="",F291=""),"",E291*F291/1000)</f>
        <v/>
      </c>
      <c r="H291" s="7" t="n"/>
      <c r="I291" s="7" t="n"/>
      <c r="J291" s="7" t="n"/>
      <c r="K291" s="7" t="n"/>
    </row>
    <row r="292">
      <c r="A292" s="18" t="n"/>
      <c r="B292" s="7" t="n"/>
      <c r="C292" s="7" t="n"/>
      <c r="D292" s="12">
        <f>IFERROR(INDEX(Produkte!$B$2:$B$301,MATCH(C292,Produkte!$A$2:$A$301,0)),"")</f>
        <v/>
      </c>
      <c r="E292" s="7" t="n"/>
      <c r="F292" s="7" t="n"/>
      <c r="G292" s="12">
        <f>IF(OR(E292="",F292=""),"",E292*F292/1000)</f>
        <v/>
      </c>
      <c r="H292" s="7" t="n"/>
      <c r="I292" s="7" t="n"/>
      <c r="J292" s="7" t="n"/>
      <c r="K292" s="7" t="n"/>
    </row>
    <row r="293">
      <c r="A293" s="18" t="n"/>
      <c r="B293" s="7" t="n"/>
      <c r="C293" s="7" t="n"/>
      <c r="D293" s="12">
        <f>IFERROR(INDEX(Produkte!$B$2:$B$301,MATCH(C293,Produkte!$A$2:$A$301,0)),"")</f>
        <v/>
      </c>
      <c r="E293" s="7" t="n"/>
      <c r="F293" s="7" t="n"/>
      <c r="G293" s="12">
        <f>IF(OR(E293="",F293=""),"",E293*F293/1000)</f>
        <v/>
      </c>
      <c r="H293" s="7" t="n"/>
      <c r="I293" s="7" t="n"/>
      <c r="J293" s="7" t="n"/>
      <c r="K293" s="7" t="n"/>
    </row>
    <row r="294">
      <c r="A294" s="18" t="n"/>
      <c r="B294" s="7" t="n"/>
      <c r="C294" s="7" t="n"/>
      <c r="D294" s="12">
        <f>IFERROR(INDEX(Produkte!$B$2:$B$301,MATCH(C294,Produkte!$A$2:$A$301,0)),"")</f>
        <v/>
      </c>
      <c r="E294" s="7" t="n"/>
      <c r="F294" s="7" t="n"/>
      <c r="G294" s="12">
        <f>IF(OR(E294="",F294=""),"",E294*F294/1000)</f>
        <v/>
      </c>
      <c r="H294" s="7" t="n"/>
      <c r="I294" s="7" t="n"/>
      <c r="J294" s="7" t="n"/>
      <c r="K294" s="7" t="n"/>
    </row>
    <row r="295">
      <c r="A295" s="18" t="n"/>
      <c r="B295" s="7" t="n"/>
      <c r="C295" s="7" t="n"/>
      <c r="D295" s="12">
        <f>IFERROR(INDEX(Produkte!$B$2:$B$301,MATCH(C295,Produkte!$A$2:$A$301,0)),"")</f>
        <v/>
      </c>
      <c r="E295" s="7" t="n"/>
      <c r="F295" s="7" t="n"/>
      <c r="G295" s="12">
        <f>IF(OR(E295="",F295=""),"",E295*F295/1000)</f>
        <v/>
      </c>
      <c r="H295" s="7" t="n"/>
      <c r="I295" s="7" t="n"/>
      <c r="J295" s="7" t="n"/>
      <c r="K295" s="7" t="n"/>
    </row>
    <row r="296">
      <c r="A296" s="18" t="n"/>
      <c r="B296" s="7" t="n"/>
      <c r="C296" s="7" t="n"/>
      <c r="D296" s="12">
        <f>IFERROR(INDEX(Produkte!$B$2:$B$301,MATCH(C296,Produkte!$A$2:$A$301,0)),"")</f>
        <v/>
      </c>
      <c r="E296" s="7" t="n"/>
      <c r="F296" s="7" t="n"/>
      <c r="G296" s="12">
        <f>IF(OR(E296="",F296=""),"",E296*F296/1000)</f>
        <v/>
      </c>
      <c r="H296" s="7" t="n"/>
      <c r="I296" s="7" t="n"/>
      <c r="J296" s="7" t="n"/>
      <c r="K296" s="7" t="n"/>
    </row>
    <row r="297">
      <c r="A297" s="18" t="n"/>
      <c r="B297" s="7" t="n"/>
      <c r="C297" s="7" t="n"/>
      <c r="D297" s="12">
        <f>IFERROR(INDEX(Produkte!$B$2:$B$301,MATCH(C297,Produkte!$A$2:$A$301,0)),"")</f>
        <v/>
      </c>
      <c r="E297" s="7" t="n"/>
      <c r="F297" s="7" t="n"/>
      <c r="G297" s="12">
        <f>IF(OR(E297="",F297=""),"",E297*F297/1000)</f>
        <v/>
      </c>
      <c r="H297" s="7" t="n"/>
      <c r="I297" s="7" t="n"/>
      <c r="J297" s="7" t="n"/>
      <c r="K297" s="7" t="n"/>
    </row>
    <row r="298">
      <c r="A298" s="18" t="n"/>
      <c r="B298" s="7" t="n"/>
      <c r="C298" s="7" t="n"/>
      <c r="D298" s="12">
        <f>IFERROR(INDEX(Produkte!$B$2:$B$301,MATCH(C298,Produkte!$A$2:$A$301,0)),"")</f>
        <v/>
      </c>
      <c r="E298" s="7" t="n"/>
      <c r="F298" s="7" t="n"/>
      <c r="G298" s="12">
        <f>IF(OR(E298="",F298=""),"",E298*F298/1000)</f>
        <v/>
      </c>
      <c r="H298" s="7" t="n"/>
      <c r="I298" s="7" t="n"/>
      <c r="J298" s="7" t="n"/>
      <c r="K298" s="7" t="n"/>
    </row>
    <row r="299">
      <c r="A299" s="18" t="n"/>
      <c r="B299" s="7" t="n"/>
      <c r="C299" s="7" t="n"/>
      <c r="D299" s="12">
        <f>IFERROR(INDEX(Produkte!$B$2:$B$301,MATCH(C299,Produkte!$A$2:$A$301,0)),"")</f>
        <v/>
      </c>
      <c r="E299" s="7" t="n"/>
      <c r="F299" s="7" t="n"/>
      <c r="G299" s="12">
        <f>IF(OR(E299="",F299=""),"",E299*F299/1000)</f>
        <v/>
      </c>
      <c r="H299" s="7" t="n"/>
      <c r="I299" s="7" t="n"/>
      <c r="J299" s="7" t="n"/>
      <c r="K299" s="7" t="n"/>
    </row>
    <row r="300">
      <c r="A300" s="18" t="n"/>
      <c r="B300" s="7" t="n"/>
      <c r="C300" s="7" t="n"/>
      <c r="D300" s="12">
        <f>IFERROR(INDEX(Produkte!$B$2:$B$301,MATCH(C300,Produkte!$A$2:$A$301,0)),"")</f>
        <v/>
      </c>
      <c r="E300" s="7" t="n"/>
      <c r="F300" s="7" t="n"/>
      <c r="G300" s="12">
        <f>IF(OR(E300="",F300=""),"",E300*F300/1000)</f>
        <v/>
      </c>
      <c r="H300" s="7" t="n"/>
      <c r="I300" s="7" t="n"/>
      <c r="J300" s="7" t="n"/>
      <c r="K300" s="7" t="n"/>
    </row>
    <row r="301">
      <c r="A301" s="18" t="n"/>
      <c r="B301" s="7" t="n"/>
      <c r="C301" s="7" t="n"/>
      <c r="D301" s="12">
        <f>IFERROR(INDEX(Produkte!$B$2:$B$301,MATCH(C301,Produkte!$A$2:$A$301,0)),"")</f>
        <v/>
      </c>
      <c r="E301" s="7" t="n"/>
      <c r="F301" s="7" t="n"/>
      <c r="G301" s="12">
        <f>IF(OR(E301="",F301=""),"",E301*F301/1000)</f>
        <v/>
      </c>
      <c r="H301" s="7" t="n"/>
      <c r="I301" s="7" t="n"/>
      <c r="J301" s="7" t="n"/>
      <c r="K301" s="7" t="n"/>
    </row>
  </sheetData>
  <autoFilter ref="A1:K301"/>
  <dataValidations count="3">
    <dataValidation sqref="B2:B301" showDropDown="0" showInputMessage="0" showErrorMessage="0" allowBlank="1" type="list">
      <formula1>=Faesser!$A$2:$A$301</formula1>
    </dataValidation>
    <dataValidation sqref="C2:C301" showDropDown="0" showInputMessage="0" showErrorMessage="0" allowBlank="1" type="list">
      <formula1>=Produkte!$A$2:$A$301</formula1>
    </dataValidation>
    <dataValidation sqref="E2:E301" showDropDown="0" showInputMessage="0" showErrorMessage="0" allowBlank="1" type="list">
      <formula1>=Listen!$C$2:$C$41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9" t="inlineStr">
        <is>
          <t>Übersicht (automatisch)</t>
        </is>
      </c>
    </row>
    <row r="3">
      <c r="A3" s="20" t="inlineStr">
        <is>
          <t>Erfasste Produkte</t>
        </is>
      </c>
      <c r="B3" s="12">
        <f>COUNTA(Produkte!A2:A301)</f>
        <v/>
      </c>
    </row>
    <row r="4">
      <c r="A4" s="20" t="inlineStr">
        <is>
          <t>Erfasste Varianten (Flaschengrößen)</t>
        </is>
      </c>
      <c r="B4" s="12">
        <f>COUNTA(Varianten_Preise!A2:A301)</f>
        <v/>
      </c>
    </row>
    <row r="5">
      <c r="A5" s="20" t="inlineStr">
        <is>
          <t>Varianten ohne Preis</t>
        </is>
      </c>
      <c r="B5" s="12">
        <f>SUMPRODUCT((Varianten_Preise!A2:A301&lt;&gt;"")*(Varianten_Preise!E2:E301=""))</f>
        <v/>
      </c>
    </row>
    <row r="6">
      <c r="A6" s="20" t="inlineStr">
        <is>
          <t>Erfasste Fässer</t>
        </is>
      </c>
      <c r="B6" s="12">
        <f>COUNTA(Faesser!A2:A301)</f>
        <v/>
      </c>
    </row>
    <row r="7">
      <c r="A7" s="20" t="inlineStr">
        <is>
          <t>Fässer aktiv</t>
        </is>
      </c>
      <c r="B7" s="12">
        <f>COUNTIF(Faesser!K2:K301,"aktiv")</f>
        <v/>
      </c>
    </row>
    <row r="8">
      <c r="A8" s="20" t="inlineStr">
        <is>
          <t>Fässer lagernd</t>
        </is>
      </c>
      <c r="B8" s="12">
        <f>COUNTIF(Faesser!K2:K301,"lagernd")</f>
        <v/>
      </c>
    </row>
    <row r="9">
      <c r="A9" s="20" t="inlineStr">
        <is>
          <t>Fassvolumen gesamt (l)</t>
        </is>
      </c>
      <c r="B9" s="12">
        <f>SUM(Faesser!E2:E301)</f>
        <v/>
      </c>
    </row>
    <row r="10">
      <c r="A10" s="20" t="inlineStr">
        <is>
          <t>Aktueller Inhalt in Fässern (l)</t>
        </is>
      </c>
      <c r="B10" s="12">
        <f>SUM(Faesser!F2:F301)</f>
        <v/>
      </c>
    </row>
    <row r="11">
      <c r="A11" s="20" t="inlineStr">
        <is>
          <t>Liter reiner Alkohol in Fässern (l.A.)</t>
        </is>
      </c>
      <c r="B11" s="12">
        <f>ROUND(SUMPRODUCT(Faesser!F2:F301,Faesser!G2:G301)/100,1)</f>
        <v/>
      </c>
    </row>
    <row r="12">
      <c r="A12" s="20" t="inlineStr">
        <is>
          <t>Produkte ohne aktives Fass</t>
        </is>
      </c>
      <c r="B12" s="12">
        <f>SUMPRODUCT((Produkte!A2:A301&lt;&gt;"")*(COUNTIF(Fass_aktiv!A2:A301,Produkte!A2:A301)=0))</f>
        <v/>
      </c>
    </row>
    <row r="13">
      <c r="A13" s="20" t="inlineStr">
        <is>
          <t>Fehler/Warnungen auf Blatt Fass_aktiv</t>
        </is>
      </c>
      <c r="B13" s="12">
        <f>COUNTIF(Fass_aktiv!F2:F301,"FEHLER*")+COUNTIF(Fass_aktiv!F2:F301,"WARNUNG*")</f>
        <v/>
      </c>
    </row>
    <row r="14">
      <c r="A14" s="20" t="inlineStr">
        <is>
          <t>Lagerwert Flaschen netto (€)</t>
        </is>
      </c>
      <c r="B14" s="15">
        <f>SUMPRODUCT(Varianten_Preise!E2:E301,Varianten_Preise!I2:I301)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2026-09-19T21:14:31Z</dcterms:created>
  <dcterms:modified xsi:type="dcterms:W3CDTF">2026-09-19T21:14:32Z</dcterms:modified>
</cp:coreProperties>
</file>